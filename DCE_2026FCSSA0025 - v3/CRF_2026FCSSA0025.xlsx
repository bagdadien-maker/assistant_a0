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M:\Commun_DAF\Achats-marches\2 Consultation\2 - En prépa - rédaction\Atchre_Machine pour prototypages des circuits imprimés\1-Préparation\DCE version travail\DCE v4\"/>
    </mc:Choice>
  </mc:AlternateContent>
  <xr:revisionPtr revIDLastSave="0" documentId="13_ncr:1_{721AF82E-160D-41D1-ABAD-4E582C5A9F7B}" xr6:coauthVersionLast="47" xr6:coauthVersionMax="47" xr10:uidLastSave="{00000000-0000-0000-0000-000000000000}"/>
  <bookViews>
    <workbookView xWindow="-120" yWindow="-120" windowWidth="38640" windowHeight="21120" tabRatio="500" xr2:uid="{00000000-000D-0000-FFFF-FFFF00000000}"/>
  </bookViews>
  <sheets>
    <sheet name="CRF " sheetId="1" r:id="rId1"/>
  </sheets>
  <definedNames>
    <definedName name="_xlnm.Print_Area" localSheetId="0">'CRF '!$A$1:$G$83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81" i="1" l="1"/>
  <c r="F76" i="1"/>
  <c r="D76" i="1"/>
  <c r="D75" i="1"/>
  <c r="F74" i="1"/>
  <c r="D74" i="1"/>
  <c r="D73" i="1"/>
  <c r="D71" i="1"/>
  <c r="D69" i="1"/>
  <c r="D68" i="1"/>
  <c r="D67" i="1"/>
  <c r="F66" i="1"/>
  <c r="D66" i="1"/>
  <c r="D63" i="1"/>
  <c r="D79" i="1" s="1"/>
  <c r="G62" i="1"/>
  <c r="F62" i="1"/>
  <c r="G61" i="1"/>
  <c r="F61" i="1"/>
  <c r="F63" i="1" s="1"/>
  <c r="F79" i="1" s="1"/>
  <c r="F59" i="1"/>
  <c r="F78" i="1" s="1"/>
  <c r="D59" i="1"/>
  <c r="D78" i="1" s="1"/>
  <c r="G58" i="1"/>
  <c r="F58" i="1"/>
  <c r="G57" i="1"/>
  <c r="F57" i="1"/>
  <c r="D55" i="1"/>
  <c r="D77" i="1" s="1"/>
  <c r="G54" i="1"/>
  <c r="F54" i="1"/>
  <c r="G53" i="1"/>
  <c r="F53" i="1"/>
  <c r="F55" i="1" s="1"/>
  <c r="F77" i="1" s="1"/>
  <c r="G51" i="1"/>
  <c r="F51" i="1"/>
  <c r="G50" i="1"/>
  <c r="F50" i="1"/>
  <c r="F75" i="1" s="1"/>
  <c r="G47" i="1"/>
  <c r="F47" i="1"/>
  <c r="G46" i="1"/>
  <c r="F46" i="1"/>
  <c r="F73" i="1" s="1"/>
  <c r="D44" i="1"/>
  <c r="D72" i="1" s="1"/>
  <c r="G43" i="1"/>
  <c r="F43" i="1"/>
  <c r="G42" i="1"/>
  <c r="F42" i="1"/>
  <c r="G41" i="1"/>
  <c r="F41" i="1"/>
  <c r="G40" i="1"/>
  <c r="F40" i="1"/>
  <c r="G39" i="1"/>
  <c r="F39" i="1"/>
  <c r="G38" i="1"/>
  <c r="F38" i="1"/>
  <c r="G37" i="1"/>
  <c r="F37" i="1"/>
  <c r="G36" i="1"/>
  <c r="F36" i="1"/>
  <c r="G35" i="1"/>
  <c r="F35" i="1"/>
  <c r="F44" i="1" s="1"/>
  <c r="F72" i="1" s="1"/>
  <c r="G34" i="1"/>
  <c r="F34" i="1"/>
  <c r="D32" i="1"/>
  <c r="G31" i="1"/>
  <c r="F31" i="1"/>
  <c r="G30" i="1"/>
  <c r="F30" i="1"/>
  <c r="F32" i="1" s="1"/>
  <c r="F71" i="1" s="1"/>
  <c r="F28" i="1"/>
  <c r="F70" i="1" s="1"/>
  <c r="D28" i="1"/>
  <c r="D70" i="1" s="1"/>
  <c r="G27" i="1"/>
  <c r="F27" i="1"/>
  <c r="G26" i="1"/>
  <c r="F26" i="1"/>
  <c r="G24" i="1"/>
  <c r="F24" i="1"/>
  <c r="F69" i="1" s="1"/>
  <c r="G23" i="1"/>
  <c r="F23" i="1"/>
  <c r="F68" i="1" s="1"/>
  <c r="G22" i="1"/>
  <c r="F22" i="1"/>
  <c r="F67" i="1" s="1"/>
  <c r="G19" i="1"/>
  <c r="F19" i="1"/>
  <c r="F81" i="1" s="1"/>
</calcChain>
</file>

<file path=xl/sharedStrings.xml><?xml version="1.0" encoding="utf-8"?>
<sst xmlns="http://schemas.openxmlformats.org/spreadsheetml/2006/main" count="118" uniqueCount="90">
  <si>
    <t>CADRE DE RÉPONSE FINANCIER</t>
  </si>
  <si>
    <t>Marché public de fournitures courantes et de services</t>
  </si>
  <si>
    <t>Acquisition d'une machine de prototypage de circuits imprimés par gravures laser et mécanique</t>
  </si>
  <si>
    <t xml:space="preserve"> Consultation n° 2026FCSSA0025 </t>
  </si>
  <si>
    <t>IDENTIFICATION DU SOUMISSIONNAIRE</t>
  </si>
  <si>
    <t>Raison sociale</t>
  </si>
  <si>
    <t>Adresse postale</t>
  </si>
  <si>
    <t>Adresse électronique</t>
  </si>
  <si>
    <t>Téléphone</t>
  </si>
  <si>
    <t>Numéro SIRET</t>
  </si>
  <si>
    <t>Renseigner les cases sur fond jaune : col. D = prix HT (total de la prestation ou du lot), col. E = taux de TVA applicable. Les autres colonnes sont calculées automatiquement.</t>
  </si>
  <si>
    <t>N°</t>
  </si>
  <si>
    <t>Désignation</t>
  </si>
  <si>
    <t>Modalité</t>
  </si>
  <si>
    <t>Prix HT
(à renseigner)</t>
  </si>
  <si>
    <t>Prix TTC</t>
  </si>
  <si>
    <t>OFFRE DE BASE</t>
  </si>
  <si>
    <t>Offre de base</t>
  </si>
  <si>
    <t>Fourniture, installation, mise en service, formation des utilisateurs et prestations et services associés  de la machine de prototypage de circuits imprimés par gravures laser et mécanique – Ensemble des prestations de l'offre de base (art. 3 du CCTP)</t>
  </si>
  <si>
    <t>Forfait</t>
  </si>
  <si>
    <t>PRESTATIONS SUPPLÉMENTAIRES ÉVENTUELLES – FOURNITURES  (PSE n°1 à 8)</t>
  </si>
  <si>
    <t>PSE 1</t>
  </si>
  <si>
    <t>Système de traitement d'air comprimé
Filtres déshuileur et déshumidificateur avec raccords pneumatiques vers la machine  (art. 4.1.1 CCTP)</t>
  </si>
  <si>
    <t>PSE 2</t>
  </si>
  <si>
    <t>Table support machine
Établi pour la machine et l'ordinateur, bandeau de prises et disjoncteur de protection  (art. 4.1.2 CCTP)</t>
  </si>
  <si>
    <t>PSE 3</t>
  </si>
  <si>
    <t>Licence logicielle flottante
Permet la préparation des fichiers hors machine  (art. 4.1.3 CCTP)</t>
  </si>
  <si>
    <t>PSE 4</t>
  </si>
  <si>
    <t>Sous-total PSE 4 – Plaques de cuivre</t>
  </si>
  <si>
    <t>PSE 5</t>
  </si>
  <si>
    <t>Sous-total PSE 5 – Fraises</t>
  </si>
  <si>
    <t>PSE 6</t>
  </si>
  <si>
    <t>Sous-total PSE 6 – Forets (10 diamètres)</t>
  </si>
  <si>
    <t>PSE 7</t>
  </si>
  <si>
    <t>PSE 8</t>
  </si>
  <si>
    <t>Ensemble de filtres de rechange pour station d'extraction/filtration  (art. 4.1.8 CCTP)</t>
  </si>
  <si>
    <t>PRESTATIONS SUPPLÉMENTAIRES ÉVENTUELLES – SERVICES  (PSE n°9 et 10)</t>
  </si>
  <si>
    <t>PSE 9a</t>
  </si>
  <si>
    <t>Extension de garantie constructeur – 1 an
Au-delà de la garantie de base. Prix forfaitaire pour la durée totale  (art. 4.2.1 CCTP)</t>
  </si>
  <si>
    <t>PSE 9b</t>
  </si>
  <si>
    <t>Extension de garantie constructeur – 3 ans
Au-delà de la garantie de base. Prix forfaitaire pour les 3 ans  (art. 4.2.2 CCTP)</t>
  </si>
  <si>
    <t>PSE 10a</t>
  </si>
  <si>
    <t>Maintenance logicielle – 1 an  (MàJ, correctifs, support logiciel)  (art. 4.2.3 CCTP)</t>
  </si>
  <si>
    <t>PSE 10b</t>
  </si>
  <si>
    <t>Maintenance logicielle – 3 ans  Prix forfaitaire pour les 3 ans  (art. 4.2.4 CCTP)</t>
  </si>
  <si>
    <t>Sous-total PSE 10 – Maintenance logicielle</t>
  </si>
  <si>
    <t>PSE 10c</t>
  </si>
  <si>
    <t>Maintenance matérielle préventive et curative – 1 an  (art. 4.2.5 CCTP)</t>
  </si>
  <si>
    <t>PSE 10d</t>
  </si>
  <si>
    <t>Maintenance matérielle préventive et curative – 3 ans  Prix forfaitaire pour les 3 ans  (art. 4.2.6 CCTP)</t>
  </si>
  <si>
    <t>Sous-total PSE 10 – Maintenance matérielle</t>
  </si>
  <si>
    <t>PSE 10e</t>
  </si>
  <si>
    <t>Maintenance complète (préventive + curative + support tél. + déplacements) – 1 an  (art. 4.2.7 CCTP)</t>
  </si>
  <si>
    <t>PSE 10f</t>
  </si>
  <si>
    <t>Maintenance complète – 3 ans  Prix forfaitaire pour les 3 ans  (art. 4.2.8 CCTP)</t>
  </si>
  <si>
    <t>Sous-total PSE 10 – Maintenance complète</t>
  </si>
  <si>
    <t>RÉCAPITULATIF</t>
  </si>
  <si>
    <t>PSE 1 – Système air comprimé</t>
  </si>
  <si>
    <t>PSE 2 – Table support machine</t>
  </si>
  <si>
    <t>PSE 3 – Licence logicielle flottante</t>
  </si>
  <si>
    <t>PSE 4 – Plaques de cuivre (sous-total)</t>
  </si>
  <si>
    <t>PSE 5 – Fraises (sous-total)</t>
  </si>
  <si>
    <t>PSE 6 – Forets (sous-total)</t>
  </si>
  <si>
    <t>PSE 7 – Plaques martyrs</t>
  </si>
  <si>
    <t>PSE 8 – Filtres de rechange</t>
  </si>
  <si>
    <t>PSE 9a – Extension garantie 1 an</t>
  </si>
  <si>
    <t>PSE 9b – Extension garantie 3 ans</t>
  </si>
  <si>
    <t>PSE 10a/10b – Maintenance logicielle (sous-total)</t>
  </si>
  <si>
    <t>PSE 10c/10d – Maintenance matérielle (sous-total)</t>
  </si>
  <si>
    <t>PSE 10e/10f – Maintenance complète (sous-total)</t>
  </si>
  <si>
    <t>TOTAL OFFRE DE BASE – Critère Prix (40 %)</t>
  </si>
  <si>
    <t>Note : Les PSE sont facultatives et indépendantes. L’acheteur se réserve le droit d’activer toute combinaison de PSE au moment de la notification. Un PSE non renseigné équivaut à un refus de proposer la prestation. Les PSE ne sont pas prises en compte dans la notation du critère Prix. La colonne « Prix unitaire HT (info acheteur) » est calculée automatiquement à titre informatif ; elle n’a pas de valeur contractuelle.</t>
  </si>
  <si>
    <t>Fourniture de 10 plaques cuivre FR4 16/10 simple face 35 µm – 200×300 cm  (art. 4.1.4 CCTP)</t>
  </si>
  <si>
    <t>Prix unitaire HT</t>
  </si>
  <si>
    <t>Taux
TVA
(à renseigner</t>
  </si>
  <si>
    <r>
      <t xml:space="preserve">Fourniture de </t>
    </r>
    <r>
      <rPr>
        <b/>
        <sz val="12"/>
        <color rgb="FF000000"/>
        <rFont val="Arial"/>
        <family val="2"/>
      </rPr>
      <t>10</t>
    </r>
    <r>
      <rPr>
        <sz val="12"/>
        <color rgb="FF000000"/>
        <rFont val="Arial"/>
        <family val="2"/>
        <charset val="1"/>
      </rPr>
      <t xml:space="preserve"> forets bagués carbure de tungstène Ø 4,2 mm  (art. 4.1.6 CCTP)</t>
    </r>
  </si>
  <si>
    <r>
      <t xml:space="preserve">Fourniture de </t>
    </r>
    <r>
      <rPr>
        <b/>
        <sz val="12"/>
        <color rgb="FF000000"/>
        <rFont val="Arial"/>
        <family val="2"/>
      </rPr>
      <t>10</t>
    </r>
    <r>
      <rPr>
        <sz val="12"/>
        <color rgb="FF000000"/>
        <rFont val="Arial"/>
        <family val="2"/>
        <charset val="1"/>
      </rPr>
      <t xml:space="preserve"> forets bagués carbure de tungstène Ø 3,2 mm  (art. 4.1.6 CCTP)</t>
    </r>
  </si>
  <si>
    <r>
      <t xml:space="preserve">Fourniture de </t>
    </r>
    <r>
      <rPr>
        <b/>
        <sz val="12"/>
        <color rgb="FF000000"/>
        <rFont val="Arial"/>
        <family val="2"/>
      </rPr>
      <t xml:space="preserve">10 </t>
    </r>
    <r>
      <rPr>
        <sz val="12"/>
        <color rgb="FF000000"/>
        <rFont val="Arial"/>
        <family val="2"/>
        <charset val="1"/>
      </rPr>
      <t>forets bagués carbure de tungstène Ø 5,2 mm  (art. 4.1.6 CCTP)</t>
    </r>
  </si>
  <si>
    <r>
      <t xml:space="preserve">Fourniture de </t>
    </r>
    <r>
      <rPr>
        <b/>
        <sz val="12"/>
        <color rgb="FF000000"/>
        <rFont val="Arial"/>
        <family val="2"/>
      </rPr>
      <t>10</t>
    </r>
    <r>
      <rPr>
        <sz val="12"/>
        <color rgb="FF000000"/>
        <rFont val="Arial"/>
        <family val="2"/>
        <charset val="1"/>
      </rPr>
      <t xml:space="preserve"> forets bagués carbure de tungstène Ø 2,5 mm  (art. 4.1.6 CCTP)</t>
    </r>
  </si>
  <si>
    <r>
      <t xml:space="preserve">Fourniture de </t>
    </r>
    <r>
      <rPr>
        <b/>
        <sz val="12"/>
        <color rgb="FF000000"/>
        <rFont val="Arial"/>
        <family val="2"/>
      </rPr>
      <t xml:space="preserve">10 </t>
    </r>
    <r>
      <rPr>
        <sz val="12"/>
        <color rgb="FF000000"/>
        <rFont val="Arial"/>
        <family val="2"/>
        <charset val="1"/>
      </rPr>
      <t>forets bagués carbure de tungstène Ø 2,0 mm  (art. 4.1.6 CCTP)</t>
    </r>
  </si>
  <si>
    <r>
      <t xml:space="preserve">Fourniture de </t>
    </r>
    <r>
      <rPr>
        <b/>
        <sz val="12"/>
        <color rgb="FF000000"/>
        <rFont val="Arial"/>
        <family val="2"/>
      </rPr>
      <t>10</t>
    </r>
    <r>
      <rPr>
        <sz val="12"/>
        <color rgb="FF000000"/>
        <rFont val="Arial"/>
        <family val="2"/>
        <charset val="1"/>
      </rPr>
      <t xml:space="preserve"> forets bagués carbure de tungstène Ø 1,5 mm  (art. 4.1.6 CCTP)</t>
    </r>
  </si>
  <si>
    <r>
      <t xml:space="preserve">Fourniture de </t>
    </r>
    <r>
      <rPr>
        <b/>
        <sz val="12"/>
        <color rgb="FF000000"/>
        <rFont val="Arial"/>
        <family val="2"/>
      </rPr>
      <t>10</t>
    </r>
    <r>
      <rPr>
        <sz val="12"/>
        <color rgb="FF000000"/>
        <rFont val="Arial"/>
        <family val="2"/>
        <charset val="1"/>
      </rPr>
      <t xml:space="preserve"> forets bagués carbure de tungstène Ø 1,2 mm  (art. 4.1.6 CCTP)</t>
    </r>
  </si>
  <si>
    <r>
      <t xml:space="preserve">Fourniture de </t>
    </r>
    <r>
      <rPr>
        <b/>
        <sz val="12"/>
        <color rgb="FF000000"/>
        <rFont val="Arial"/>
        <family val="2"/>
      </rPr>
      <t>50</t>
    </r>
    <r>
      <rPr>
        <sz val="12"/>
        <color rgb="FF000000"/>
        <rFont val="Arial"/>
        <family val="2"/>
        <charset val="1"/>
      </rPr>
      <t xml:space="preserve"> plaques cuivre FR4 16/10 double face 35 µm – 200×300 cm  (art. 4.1.4 CCTP)</t>
    </r>
  </si>
  <si>
    <r>
      <t xml:space="preserve">Fourniture de </t>
    </r>
    <r>
      <rPr>
        <b/>
        <sz val="12"/>
        <color rgb="FF000000"/>
        <rFont val="Arial"/>
        <family val="2"/>
      </rPr>
      <t>5</t>
    </r>
    <r>
      <rPr>
        <sz val="12"/>
        <color rgb="FF000000"/>
        <rFont val="Arial"/>
        <family val="2"/>
        <charset val="1"/>
      </rPr>
      <t xml:space="preserve"> fraises carbure de tungstène de détourage Ø 2,0 mm  (art. 4.1.5 CCTP)</t>
    </r>
  </si>
  <si>
    <r>
      <t xml:space="preserve">Fourniture de </t>
    </r>
    <r>
      <rPr>
        <b/>
        <sz val="12"/>
        <color rgb="FF000000"/>
        <rFont val="Arial"/>
        <family val="2"/>
      </rPr>
      <t>10</t>
    </r>
    <r>
      <rPr>
        <sz val="12"/>
        <color rgb="FF000000"/>
        <rFont val="Arial"/>
        <family val="2"/>
        <charset val="1"/>
      </rPr>
      <t xml:space="preserve"> forets bagués carbure de tungstène Ø 0,8 mm  (art. 4.1.6 CCTP)</t>
    </r>
  </si>
  <si>
    <r>
      <t xml:space="preserve">Fourniture de </t>
    </r>
    <r>
      <rPr>
        <b/>
        <sz val="12"/>
        <color rgb="FF000000"/>
        <rFont val="Arial"/>
        <family val="2"/>
      </rPr>
      <t>10</t>
    </r>
    <r>
      <rPr>
        <sz val="12"/>
        <color rgb="FF000000"/>
        <rFont val="Arial"/>
        <family val="2"/>
        <charset val="1"/>
      </rPr>
      <t xml:space="preserve"> forets bagués carbure de tungstène Ø 1,0 mm  (art. 4.1.6 CCTP)</t>
    </r>
  </si>
  <si>
    <r>
      <t xml:space="preserve">Fourniture de </t>
    </r>
    <r>
      <rPr>
        <b/>
        <sz val="12"/>
        <color rgb="FF000000"/>
        <rFont val="Arial"/>
        <family val="2"/>
      </rPr>
      <t xml:space="preserve">5 </t>
    </r>
    <r>
      <rPr>
        <sz val="12"/>
        <color rgb="FF000000"/>
        <rFont val="Arial"/>
        <family val="2"/>
        <charset val="1"/>
      </rPr>
      <t>fraises carbure de tungstène de détourage Ø 1,0 mm  (art. 4.1.5 CCTP)</t>
    </r>
  </si>
  <si>
    <r>
      <t xml:space="preserve">Fourniture de </t>
    </r>
    <r>
      <rPr>
        <b/>
        <sz val="12"/>
        <color rgb="FF000000"/>
        <rFont val="Arial"/>
        <family val="2"/>
      </rPr>
      <t>10</t>
    </r>
    <r>
      <rPr>
        <sz val="12"/>
        <color rgb="FF000000"/>
        <rFont val="Arial"/>
        <family val="2"/>
        <charset val="1"/>
      </rPr>
      <t xml:space="preserve"> forets bagués carbure de tungstène Ø 0,6 mm  (art. 4.1.6 CCTP)</t>
    </r>
  </si>
  <si>
    <r>
      <t xml:space="preserve">Fourniture de </t>
    </r>
    <r>
      <rPr>
        <b/>
        <sz val="12"/>
        <color rgb="FF000000"/>
        <rFont val="Arial"/>
        <family val="2"/>
      </rPr>
      <t xml:space="preserve">10 </t>
    </r>
    <r>
      <rPr>
        <sz val="12"/>
        <color rgb="FF000000"/>
        <rFont val="Arial"/>
        <family val="2"/>
        <charset val="1"/>
      </rPr>
      <t>plaques martyrs  (art. 4.1.7 CCTP)</t>
    </r>
  </si>
  <si>
    <t>LES PRIX SONT RÉPUTÉS COMPRENDRE toutes les charges fiscales ou autres frappant obligatoirement la prestation ainsi que tous les frais afférents au conditionnement, à l'emballage, à l'assurance, au transport, au déchargement jusqu'au lieu d'utilisation par l'acheteur et toutes autres taxes jusqu'au lieu de livraison. 
AUCUN SUPPLÉMENT NE SERA PAYÉ EN DEHORS DES PRIX CI-DESSOUS RENSEIGNÉS.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</si>
</sst>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&quot; €&quot;;[Red]\-#,##0.00&quot; €&quot;;\-"/>
    <numFmt numFmtId="165" formatCode="0.00\ %"/>
    <numFmt numFmtId="166" formatCode="0\ %"/>
  </numFmts>
  <fonts count="16" x14ac:knownFonts="1">
    <font>
      <sz val="11"/>
      <color theme="1"/>
      <name val="Calibri"/>
      <family val="2"/>
      <charset val="1"/>
    </font>
    <font>
      <sz val="12"/>
      <color theme="1"/>
      <name val="Calibri"/>
      <family val="2"/>
      <charset val="1"/>
    </font>
    <font>
      <b/>
      <sz val="12"/>
      <color rgb="FFFFFFFF"/>
      <name val="Arial"/>
      <family val="2"/>
      <charset val="1"/>
    </font>
    <font>
      <i/>
      <sz val="12"/>
      <color rgb="FFCCDDEE"/>
      <name val="Arial"/>
      <family val="2"/>
      <charset val="1"/>
    </font>
    <font>
      <b/>
      <i/>
      <sz val="12"/>
      <color rgb="FFCC0000"/>
      <name val="Arial"/>
      <family val="2"/>
      <charset val="1"/>
    </font>
    <font>
      <b/>
      <sz val="12"/>
      <color rgb="FF17365D"/>
      <name val="Arial"/>
      <family val="2"/>
      <charset val="1"/>
    </font>
    <font>
      <sz val="12"/>
      <color rgb="FF0000CC"/>
      <name val="Arial"/>
      <family val="2"/>
      <charset val="1"/>
    </font>
    <font>
      <b/>
      <i/>
      <sz val="12"/>
      <color rgb="FFFF0000"/>
      <name val="Arial"/>
      <family val="2"/>
      <charset val="1"/>
    </font>
    <font>
      <b/>
      <sz val="12"/>
      <color rgb="FF000000"/>
      <name val="Arial"/>
      <family val="2"/>
      <charset val="1"/>
    </font>
    <font>
      <sz val="12"/>
      <color rgb="FF000000"/>
      <name val="Arial"/>
      <family val="2"/>
      <charset val="1"/>
    </font>
    <font>
      <i/>
      <sz val="12"/>
      <color rgb="FF888888"/>
      <name val="Arial"/>
      <family val="2"/>
      <charset val="1"/>
    </font>
    <font>
      <i/>
      <sz val="12"/>
      <color rgb="FF00B050"/>
      <name val="Calibri"/>
      <family val="2"/>
      <charset val="1"/>
    </font>
    <font>
      <sz val="12"/>
      <color rgb="FF17365D"/>
      <name val="Arial"/>
      <family val="2"/>
      <charset val="1"/>
    </font>
    <font>
      <sz val="12"/>
      <color rgb="FFFFFFFF"/>
      <name val="Arial"/>
      <family val="2"/>
      <charset val="1"/>
    </font>
    <font>
      <i/>
      <sz val="12"/>
      <color rgb="FF555555"/>
      <name val="Arial"/>
      <family val="2"/>
      <charset val="1"/>
    </font>
    <font>
      <b/>
      <sz val="12"/>
      <color rgb="FF00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17365D"/>
        <bgColor rgb="FF333333"/>
      </patternFill>
    </fill>
    <fill>
      <patternFill patternType="solid">
        <fgColor theme="0"/>
        <bgColor rgb="FFF2F3F4"/>
      </patternFill>
    </fill>
    <fill>
      <patternFill patternType="solid">
        <fgColor rgb="FFDBE5F1"/>
        <bgColor rgb="FFCCDDEE"/>
      </patternFill>
    </fill>
    <fill>
      <patternFill patternType="solid">
        <fgColor rgb="FFFFFFC0"/>
        <bgColor rgb="FFFFFF99"/>
      </patternFill>
    </fill>
    <fill>
      <patternFill patternType="solid">
        <fgColor rgb="FFC6D9F1"/>
        <bgColor rgb="FFCCDDEE"/>
      </patternFill>
    </fill>
    <fill>
      <patternFill patternType="solid">
        <fgColor rgb="FFF2F3F4"/>
        <bgColor rgb="FFFFFFFF"/>
      </patternFill>
    </fill>
    <fill>
      <patternFill patternType="solid">
        <fgColor rgb="FFE2EFDA"/>
        <bgColor rgb="FFDBE5F1"/>
      </patternFill>
    </fill>
  </fills>
  <borders count="9">
    <border>
      <left/>
      <right/>
      <top/>
      <bottom/>
      <diagonal/>
    </border>
    <border>
      <left style="thick">
        <color rgb="FFCC0000"/>
      </left>
      <right style="thick">
        <color rgb="FFCC0000"/>
      </right>
      <top style="thick">
        <color rgb="FFCC0000"/>
      </top>
      <bottom style="thick">
        <color rgb="FFCC0000"/>
      </bottom>
      <diagonal/>
    </border>
    <border>
      <left style="medium">
        <color rgb="FF17365D"/>
      </left>
      <right style="medium">
        <color rgb="FF17365D"/>
      </right>
      <top style="medium">
        <color rgb="FF17365D"/>
      </top>
      <bottom style="thin">
        <color rgb="FF17365D"/>
      </bottom>
      <diagonal/>
    </border>
    <border>
      <left style="medium">
        <color rgb="FF17365D"/>
      </left>
      <right/>
      <top style="thin">
        <color rgb="FFAAAAAA"/>
      </top>
      <bottom style="thin">
        <color rgb="FFAAAAAA"/>
      </bottom>
      <diagonal/>
    </border>
    <border>
      <left style="thin">
        <color rgb="FFAAAAAA"/>
      </left>
      <right style="medium">
        <color rgb="FF17365D"/>
      </right>
      <top style="thin">
        <color rgb="FFAAAAAA"/>
      </top>
      <bottom style="thin">
        <color rgb="FFAAAAAA"/>
      </bottom>
      <diagonal/>
    </border>
    <border>
      <left style="medium">
        <color rgb="FF17365D"/>
      </left>
      <right/>
      <top style="thin">
        <color rgb="FFAAAAAA"/>
      </top>
      <bottom style="medium">
        <color rgb="FF17365D"/>
      </bottom>
      <diagonal/>
    </border>
    <border>
      <left style="thin">
        <color rgb="FFAAAAAA"/>
      </left>
      <right style="medium">
        <color rgb="FF17365D"/>
      </right>
      <top style="thin">
        <color rgb="FFAAAAAA"/>
      </top>
      <bottom style="medium">
        <color rgb="FF17365D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medium">
        <color rgb="FF17365D"/>
      </left>
      <right style="medium">
        <color rgb="FF17365D"/>
      </right>
      <top style="medium">
        <color rgb="FF17365D"/>
      </top>
      <bottom style="medium">
        <color rgb="FF17365D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1"/>
    <xf numFmtId="0" fontId="5" fillId="6" borderId="7" xfId="0" applyFont="1" applyFill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 wrapText="1"/>
    </xf>
    <xf numFmtId="0" fontId="1" fillId="0" borderId="0" xfId="0" applyFont="1" applyBorder="1"/>
    <xf numFmtId="0" fontId="8" fillId="7" borderId="7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left" vertical="center" wrapText="1"/>
    </xf>
    <xf numFmtId="0" fontId="9" fillId="7" borderId="7" xfId="0" applyFont="1" applyFill="1" applyBorder="1" applyAlignment="1">
      <alignment horizontal="center" vertical="center"/>
    </xf>
    <xf numFmtId="164" fontId="6" fillId="5" borderId="7" xfId="0" applyNumberFormat="1" applyFont="1" applyFill="1" applyBorder="1" applyAlignment="1">
      <alignment horizontal="right" vertical="center"/>
    </xf>
    <xf numFmtId="165" fontId="6" fillId="5" borderId="7" xfId="0" applyNumberFormat="1" applyFont="1" applyFill="1" applyBorder="1" applyAlignment="1">
      <alignment horizontal="center" vertical="center"/>
    </xf>
    <xf numFmtId="164" fontId="9" fillId="3" borderId="7" xfId="0" applyNumberFormat="1" applyFont="1" applyFill="1" applyBorder="1" applyAlignment="1">
      <alignment horizontal="right" vertical="center"/>
    </xf>
    <xf numFmtId="164" fontId="10" fillId="3" borderId="7" xfId="0" applyNumberFormat="1" applyFont="1" applyFill="1" applyBorder="1" applyAlignment="1">
      <alignment horizontal="right" vertical="center"/>
    </xf>
    <xf numFmtId="164" fontId="9" fillId="0" borderId="0" xfId="0" applyNumberFormat="1" applyFont="1" applyBorder="1" applyAlignment="1">
      <alignment horizontal="right" vertical="center"/>
    </xf>
    <xf numFmtId="0" fontId="11" fillId="0" borderId="0" xfId="0" applyFont="1" applyBorder="1" applyAlignment="1">
      <alignment horizontal="center" wrapText="1"/>
    </xf>
    <xf numFmtId="164" fontId="6" fillId="0" borderId="0" xfId="0" applyNumberFormat="1" applyFont="1" applyBorder="1" applyAlignment="1">
      <alignment horizontal="right" vertical="center"/>
    </xf>
    <xf numFmtId="164" fontId="1" fillId="0" borderId="0" xfId="0" applyNumberFormat="1" applyFont="1" applyBorder="1"/>
    <xf numFmtId="166" fontId="1" fillId="0" borderId="0" xfId="0" applyNumberFormat="1" applyFont="1" applyBorder="1"/>
    <xf numFmtId="164" fontId="5" fillId="8" borderId="7" xfId="0" applyNumberFormat="1" applyFont="1" applyFill="1" applyBorder="1" applyAlignment="1">
      <alignment horizontal="right" vertical="center"/>
    </xf>
    <xf numFmtId="164" fontId="12" fillId="8" borderId="7" xfId="0" applyNumberFormat="1" applyFont="1" applyFill="1" applyBorder="1" applyAlignment="1">
      <alignment horizontal="center" vertical="center"/>
    </xf>
    <xf numFmtId="166" fontId="9" fillId="8" borderId="7" xfId="0" applyNumberFormat="1" applyFont="1" applyFill="1" applyBorder="1" applyAlignment="1">
      <alignment horizontal="left" vertical="center"/>
    </xf>
    <xf numFmtId="164" fontId="5" fillId="0" borderId="0" xfId="0" applyNumberFormat="1" applyFont="1" applyBorder="1" applyAlignment="1">
      <alignment horizontal="right" vertical="center"/>
    </xf>
    <xf numFmtId="0" fontId="12" fillId="8" borderId="7" xfId="0" applyFont="1" applyFill="1" applyBorder="1" applyAlignment="1">
      <alignment horizontal="left" vertical="center"/>
    </xf>
    <xf numFmtId="164" fontId="2" fillId="2" borderId="7" xfId="0" applyNumberFormat="1" applyFont="1" applyFill="1" applyBorder="1" applyAlignment="1">
      <alignment horizontal="right" vertical="center"/>
    </xf>
    <xf numFmtId="0" fontId="13" fillId="2" borderId="7" xfId="0" applyFont="1" applyFill="1" applyBorder="1" applyAlignment="1">
      <alignment horizontal="left" vertical="center"/>
    </xf>
    <xf numFmtId="164" fontId="2" fillId="0" borderId="0" xfId="0" applyNumberFormat="1" applyFont="1" applyBorder="1" applyAlignment="1">
      <alignment horizontal="right" vertical="center"/>
    </xf>
    <xf numFmtId="0" fontId="5" fillId="8" borderId="7" xfId="0" applyFont="1" applyFill="1" applyBorder="1" applyAlignment="1">
      <alignment horizontal="left" vertical="center"/>
    </xf>
    <xf numFmtId="0" fontId="2" fillId="2" borderId="7" xfId="0" applyFont="1" applyFill="1" applyBorder="1" applyAlignment="1">
      <alignment horizontal="left" vertical="center"/>
    </xf>
    <xf numFmtId="0" fontId="14" fillId="0" borderId="0" xfId="0" applyFont="1" applyBorder="1" applyAlignment="1">
      <alignment horizontal="left" vertical="center" wrapText="1"/>
    </xf>
    <xf numFmtId="0" fontId="2" fillId="2" borderId="8" xfId="0" applyFont="1" applyFill="1" applyBorder="1" applyAlignment="1">
      <alignment horizontal="center" vertical="center"/>
    </xf>
    <xf numFmtId="0" fontId="8" fillId="7" borderId="7" xfId="0" applyFont="1" applyFill="1" applyBorder="1" applyAlignment="1">
      <alignment horizontal="center" vertical="center"/>
    </xf>
    <xf numFmtId="0" fontId="5" fillId="4" borderId="7" xfId="0" applyFont="1" applyFill="1" applyBorder="1" applyAlignment="1">
      <alignment horizontal="left" vertical="center"/>
    </xf>
    <xf numFmtId="0" fontId="7" fillId="0" borderId="0" xfId="0" applyFont="1" applyBorder="1" applyAlignment="1">
      <alignment horizontal="center" vertical="center" wrapText="1"/>
    </xf>
    <xf numFmtId="0" fontId="5" fillId="4" borderId="3" xfId="0" applyFont="1" applyFill="1" applyBorder="1" applyAlignment="1">
      <alignment horizontal="left" vertical="center"/>
    </xf>
    <xf numFmtId="0" fontId="6" fillId="5" borderId="4" xfId="0" applyFont="1" applyFill="1" applyBorder="1" applyAlignment="1">
      <alignment horizontal="left" vertical="center" wrapText="1"/>
    </xf>
    <xf numFmtId="0" fontId="5" fillId="4" borderId="5" xfId="0" applyFont="1" applyFill="1" applyBorder="1" applyAlignment="1">
      <alignment horizontal="left" vertical="center"/>
    </xf>
    <xf numFmtId="0" fontId="6" fillId="5" borderId="6" xfId="0" applyFont="1" applyFill="1" applyBorder="1" applyAlignment="1">
      <alignment horizontal="left" vertical="center" wrapText="1"/>
    </xf>
    <xf numFmtId="0" fontId="5" fillId="4" borderId="2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CC"/>
      <rgbColor rgb="FFFFFF00"/>
      <rgbColor rgb="FFFF00FF"/>
      <rgbColor rgb="FF00FFFF"/>
      <rgbColor rgb="FFCC0000"/>
      <rgbColor rgb="FF008000"/>
      <rgbColor rgb="FF000080"/>
      <rgbColor rgb="FF808000"/>
      <rgbColor rgb="FF800080"/>
      <rgbColor rgb="FF008080"/>
      <rgbColor rgb="FFCCDDEE"/>
      <rgbColor rgb="FF888888"/>
      <rgbColor rgb="FF9999FF"/>
      <rgbColor rgb="FF993366"/>
      <rgbColor rgb="FFFFFFC0"/>
      <rgbColor rgb="FFDBE5F1"/>
      <rgbColor rgb="FF660066"/>
      <rgbColor rgb="FFFF8080"/>
      <rgbColor rgb="FF0066CC"/>
      <rgbColor rgb="FFC6D9F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3F4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AAAAAA"/>
      <rgbColor rgb="FF17365D"/>
      <rgbColor rgb="FF00B050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47520</xdr:colOff>
      <xdr:row>0</xdr:row>
      <xdr:rowOff>63360</xdr:rowOff>
    </xdr:from>
    <xdr:to>
      <xdr:col>0</xdr:col>
      <xdr:colOff>882360</xdr:colOff>
      <xdr:row>0</xdr:row>
      <xdr:rowOff>813240</xdr:rowOff>
    </xdr:to>
    <xdr:pic>
      <xdr:nvPicPr>
        <xdr:cNvPr id="2" name="Image 2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7520" y="63360"/>
          <a:ext cx="834840" cy="74988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7365D"/>
  </sheetPr>
  <dimension ref="A1:K83"/>
  <sheetViews>
    <sheetView tabSelected="1" zoomScale="102" zoomScaleNormal="102" workbookViewId="0">
      <selection activeCell="S15" sqref="S15"/>
    </sheetView>
  </sheetViews>
  <sheetFormatPr baseColWidth="10" defaultColWidth="3" defaultRowHeight="15.75" x14ac:dyDescent="0.25"/>
  <cols>
    <col min="1" max="1" width="14.140625" style="1" customWidth="1"/>
    <col min="2" max="2" width="52" style="1" customWidth="1"/>
    <col min="3" max="3" width="13.28515625" style="1" customWidth="1"/>
    <col min="4" max="4" width="18.5703125" style="1" customWidth="1"/>
    <col min="5" max="5" width="19.140625" style="1" customWidth="1"/>
    <col min="6" max="6" width="16" style="1" customWidth="1"/>
    <col min="7" max="7" width="20" style="1" customWidth="1"/>
    <col min="8" max="16384" width="3" style="1"/>
  </cols>
  <sheetData>
    <row r="1" spans="1:8" ht="66.75" customHeight="1" x14ac:dyDescent="0.25">
      <c r="A1" s="37" t="s">
        <v>0</v>
      </c>
      <c r="B1" s="37"/>
      <c r="C1" s="37"/>
      <c r="D1" s="37"/>
      <c r="E1" s="37"/>
      <c r="F1" s="37"/>
      <c r="G1" s="37"/>
    </row>
    <row r="2" spans="1:8" ht="17.25" customHeight="1" x14ac:dyDescent="0.25">
      <c r="A2" s="38" t="s">
        <v>1</v>
      </c>
      <c r="B2" s="38"/>
      <c r="C2" s="38"/>
      <c r="D2" s="38"/>
      <c r="E2" s="38"/>
      <c r="F2" s="38"/>
      <c r="G2" s="38"/>
    </row>
    <row r="3" spans="1:8" ht="33" customHeight="1" x14ac:dyDescent="0.25">
      <c r="A3" s="37" t="s">
        <v>2</v>
      </c>
      <c r="B3" s="37"/>
      <c r="C3" s="37"/>
      <c r="D3" s="37"/>
      <c r="E3" s="37"/>
      <c r="F3" s="37"/>
      <c r="G3" s="37"/>
    </row>
    <row r="4" spans="1:8" ht="12" customHeight="1" x14ac:dyDescent="0.25">
      <c r="A4" s="38" t="s">
        <v>3</v>
      </c>
      <c r="B4" s="38"/>
      <c r="C4" s="38"/>
      <c r="D4" s="38"/>
      <c r="E4" s="38"/>
      <c r="F4" s="38"/>
      <c r="G4" s="38"/>
    </row>
    <row r="6" spans="1:8" ht="87" customHeight="1" x14ac:dyDescent="0.25">
      <c r="A6" s="39" t="s">
        <v>89</v>
      </c>
      <c r="B6" s="39"/>
      <c r="C6" s="39"/>
      <c r="D6" s="39"/>
      <c r="E6" s="39"/>
      <c r="F6" s="39"/>
      <c r="G6" s="39"/>
    </row>
    <row r="8" spans="1:8" x14ac:dyDescent="0.25">
      <c r="A8" s="36" t="s">
        <v>4</v>
      </c>
      <c r="B8" s="36"/>
      <c r="C8" s="36"/>
      <c r="D8" s="36"/>
      <c r="E8" s="36"/>
      <c r="F8" s="36"/>
      <c r="G8" s="36"/>
      <c r="H8" s="36"/>
    </row>
    <row r="9" spans="1:8" x14ac:dyDescent="0.25">
      <c r="A9" s="32" t="s">
        <v>5</v>
      </c>
      <c r="B9" s="32"/>
      <c r="C9" s="32"/>
      <c r="D9" s="33"/>
      <c r="E9" s="33"/>
      <c r="F9" s="33"/>
      <c r="G9" s="33"/>
      <c r="H9" s="33"/>
    </row>
    <row r="10" spans="1:8" x14ac:dyDescent="0.25">
      <c r="A10" s="32" t="s">
        <v>6</v>
      </c>
      <c r="B10" s="32"/>
      <c r="C10" s="32"/>
      <c r="D10" s="33"/>
      <c r="E10" s="33"/>
      <c r="F10" s="33"/>
      <c r="G10" s="33"/>
      <c r="H10" s="33"/>
    </row>
    <row r="11" spans="1:8" x14ac:dyDescent="0.25">
      <c r="A11" s="32" t="s">
        <v>7</v>
      </c>
      <c r="B11" s="32"/>
      <c r="C11" s="32"/>
      <c r="D11" s="33"/>
      <c r="E11" s="33"/>
      <c r="F11" s="33"/>
      <c r="G11" s="33"/>
      <c r="H11" s="33"/>
    </row>
    <row r="12" spans="1:8" x14ac:dyDescent="0.25">
      <c r="A12" s="32" t="s">
        <v>8</v>
      </c>
      <c r="B12" s="32"/>
      <c r="C12" s="32"/>
      <c r="D12" s="33"/>
      <c r="E12" s="33"/>
      <c r="F12" s="33"/>
      <c r="G12" s="33"/>
      <c r="H12" s="33"/>
    </row>
    <row r="13" spans="1:8" x14ac:dyDescent="0.25">
      <c r="A13" s="34" t="s">
        <v>9</v>
      </c>
      <c r="B13" s="34"/>
      <c r="C13" s="34"/>
      <c r="D13" s="35"/>
      <c r="E13" s="35"/>
      <c r="F13" s="35"/>
      <c r="G13" s="35"/>
      <c r="H13" s="35"/>
    </row>
    <row r="15" spans="1:8" ht="28.9" customHeight="1" x14ac:dyDescent="0.25">
      <c r="A15" s="31" t="s">
        <v>10</v>
      </c>
      <c r="B15" s="31"/>
      <c r="C15" s="31"/>
      <c r="D15" s="31"/>
      <c r="E15" s="31"/>
      <c r="F15" s="31"/>
      <c r="G15" s="31"/>
    </row>
    <row r="17" spans="1:11" ht="47.25" x14ac:dyDescent="0.25">
      <c r="A17" s="2" t="s">
        <v>11</v>
      </c>
      <c r="B17" s="2" t="s">
        <v>12</v>
      </c>
      <c r="C17" s="2" t="s">
        <v>13</v>
      </c>
      <c r="D17" s="2" t="s">
        <v>14</v>
      </c>
      <c r="E17" s="2" t="s">
        <v>74</v>
      </c>
      <c r="F17" s="2" t="s">
        <v>15</v>
      </c>
      <c r="G17" s="2" t="s">
        <v>73</v>
      </c>
      <c r="H17" s="3"/>
      <c r="I17" s="4"/>
      <c r="J17" s="4"/>
      <c r="K17" s="4"/>
    </row>
    <row r="18" spans="1:11" x14ac:dyDescent="0.25">
      <c r="A18" s="26" t="s">
        <v>16</v>
      </c>
      <c r="B18" s="26"/>
      <c r="C18" s="26"/>
      <c r="D18" s="26"/>
      <c r="E18" s="26"/>
      <c r="F18" s="26"/>
      <c r="G18" s="26"/>
      <c r="H18" s="4"/>
      <c r="I18" s="4"/>
      <c r="J18" s="4"/>
      <c r="K18" s="4"/>
    </row>
    <row r="19" spans="1:11" ht="90" x14ac:dyDescent="0.25">
      <c r="A19" s="5" t="s">
        <v>17</v>
      </c>
      <c r="B19" s="6" t="s">
        <v>18</v>
      </c>
      <c r="C19" s="7" t="s">
        <v>19</v>
      </c>
      <c r="D19" s="8"/>
      <c r="E19" s="9"/>
      <c r="F19" s="10" t="str">
        <f>IF(D19="","",D19*(1+E19))</f>
        <v/>
      </c>
      <c r="G19" s="11" t="str">
        <f>IF(D19="","",D19/1)</f>
        <v/>
      </c>
      <c r="H19" s="12"/>
      <c r="I19" s="13"/>
      <c r="J19" s="4"/>
      <c r="K19" s="4"/>
    </row>
    <row r="20" spans="1:11" x14ac:dyDescent="0.25">
      <c r="D20" s="4"/>
      <c r="E20" s="4"/>
      <c r="F20" s="4"/>
      <c r="G20" s="4"/>
      <c r="H20" s="4"/>
      <c r="I20" s="4"/>
      <c r="J20" s="4"/>
      <c r="K20" s="4"/>
    </row>
    <row r="21" spans="1:11" x14ac:dyDescent="0.25">
      <c r="A21" s="30" t="s">
        <v>20</v>
      </c>
      <c r="B21" s="30"/>
      <c r="C21" s="30"/>
      <c r="D21" s="30"/>
      <c r="E21" s="30"/>
      <c r="F21" s="30"/>
      <c r="G21" s="30"/>
      <c r="H21" s="4"/>
      <c r="I21" s="4"/>
      <c r="J21" s="4"/>
      <c r="K21" s="4"/>
    </row>
    <row r="22" spans="1:11" ht="60" x14ac:dyDescent="0.25">
      <c r="A22" s="5" t="s">
        <v>21</v>
      </c>
      <c r="B22" s="6" t="s">
        <v>22</v>
      </c>
      <c r="C22" s="7" t="s">
        <v>19</v>
      </c>
      <c r="D22" s="8"/>
      <c r="E22" s="9"/>
      <c r="F22" s="10" t="str">
        <f>IF(D22="","",D22*(1+E22))</f>
        <v/>
      </c>
      <c r="G22" s="11" t="str">
        <f>IF(D22="","",D22/1)</f>
        <v/>
      </c>
      <c r="H22" s="12"/>
      <c r="I22" s="4"/>
      <c r="J22" s="4"/>
      <c r="K22" s="4"/>
    </row>
    <row r="23" spans="1:11" ht="60" x14ac:dyDescent="0.25">
      <c r="A23" s="5" t="s">
        <v>23</v>
      </c>
      <c r="B23" s="6" t="s">
        <v>24</v>
      </c>
      <c r="C23" s="7" t="s">
        <v>19</v>
      </c>
      <c r="D23" s="8"/>
      <c r="E23" s="9"/>
      <c r="F23" s="10" t="str">
        <f>IF(D23="","",D23*(1+E23))</f>
        <v/>
      </c>
      <c r="G23" s="11" t="str">
        <f>IF(D23="","",D23/1)</f>
        <v/>
      </c>
      <c r="H23" s="12"/>
      <c r="I23" s="4"/>
      <c r="J23" s="4"/>
      <c r="K23" s="4"/>
    </row>
    <row r="24" spans="1:11" ht="45" x14ac:dyDescent="0.25">
      <c r="A24" s="5" t="s">
        <v>25</v>
      </c>
      <c r="B24" s="6" t="s">
        <v>26</v>
      </c>
      <c r="C24" s="7" t="s">
        <v>19</v>
      </c>
      <c r="D24" s="8"/>
      <c r="E24" s="9"/>
      <c r="F24" s="10" t="str">
        <f>IF(D24="","",D24*(1+E24))</f>
        <v/>
      </c>
      <c r="G24" s="11" t="str">
        <f>IF(D24="","",D24/1)</f>
        <v/>
      </c>
      <c r="H24" s="12"/>
      <c r="I24" s="4"/>
      <c r="J24" s="4"/>
      <c r="K24" s="4"/>
    </row>
    <row r="25" spans="1:11" x14ac:dyDescent="0.25">
      <c r="D25" s="4"/>
      <c r="E25" s="14"/>
      <c r="F25" s="15"/>
      <c r="G25" s="16"/>
      <c r="H25" s="15"/>
      <c r="I25" s="4"/>
      <c r="J25" s="4"/>
      <c r="K25" s="4"/>
    </row>
    <row r="26" spans="1:11" ht="30.75" x14ac:dyDescent="0.25">
      <c r="A26" s="29" t="s">
        <v>27</v>
      </c>
      <c r="B26" s="6" t="s">
        <v>82</v>
      </c>
      <c r="C26" s="7" t="s">
        <v>19</v>
      </c>
      <c r="D26" s="8"/>
      <c r="E26" s="9"/>
      <c r="F26" s="10" t="str">
        <f>IF(D26="","",D26*(1+E26))</f>
        <v/>
      </c>
      <c r="G26" s="11" t="str">
        <f>IF(D26="","",D26/50)</f>
        <v/>
      </c>
      <c r="H26" s="12"/>
      <c r="I26" s="4"/>
      <c r="J26" s="4"/>
      <c r="K26" s="4"/>
    </row>
    <row r="27" spans="1:11" ht="30" x14ac:dyDescent="0.25">
      <c r="A27" s="29"/>
      <c r="B27" s="6" t="s">
        <v>72</v>
      </c>
      <c r="C27" s="7" t="s">
        <v>19</v>
      </c>
      <c r="D27" s="8"/>
      <c r="E27" s="9"/>
      <c r="F27" s="10" t="str">
        <f>IF(D27="","",D27*(1+E27))</f>
        <v/>
      </c>
      <c r="G27" s="11" t="str">
        <f>IF(D27="","",D27/10)</f>
        <v/>
      </c>
      <c r="H27" s="12"/>
      <c r="I27" s="4"/>
      <c r="J27" s="4"/>
      <c r="K27" s="4"/>
    </row>
    <row r="28" spans="1:11" x14ac:dyDescent="0.25">
      <c r="A28" s="25" t="s">
        <v>28</v>
      </c>
      <c r="B28" s="25"/>
      <c r="C28" s="25"/>
      <c r="D28" s="17" t="str">
        <f>IF(SUM(D26:D27)=0,"",D26+D27)</f>
        <v/>
      </c>
      <c r="E28" s="18"/>
      <c r="F28" s="17" t="str">
        <f>IF(SUM(F26:F27)=0,"",F26+F27)</f>
        <v/>
      </c>
      <c r="G28" s="19"/>
      <c r="H28" s="20"/>
      <c r="I28" s="4"/>
      <c r="J28" s="4"/>
      <c r="K28" s="4"/>
    </row>
    <row r="29" spans="1:11" x14ac:dyDescent="0.25">
      <c r="D29" s="4"/>
      <c r="E29" s="14"/>
      <c r="F29" s="15"/>
      <c r="G29" s="16"/>
      <c r="H29" s="15"/>
      <c r="I29" s="4"/>
      <c r="J29" s="4"/>
      <c r="K29" s="4"/>
    </row>
    <row r="30" spans="1:11" ht="30.75" x14ac:dyDescent="0.25">
      <c r="A30" s="29" t="s">
        <v>29</v>
      </c>
      <c r="B30" s="6" t="s">
        <v>86</v>
      </c>
      <c r="C30" s="7" t="s">
        <v>19</v>
      </c>
      <c r="D30" s="8"/>
      <c r="E30" s="9"/>
      <c r="F30" s="10" t="str">
        <f>IF(D30="","",D30*(1+E30))</f>
        <v/>
      </c>
      <c r="G30" s="11" t="str">
        <f>IF(D30="","",D30/5)</f>
        <v/>
      </c>
      <c r="H30" s="12"/>
      <c r="I30" s="4"/>
      <c r="J30" s="4"/>
      <c r="K30" s="4"/>
    </row>
    <row r="31" spans="1:11" ht="30.75" x14ac:dyDescent="0.25">
      <c r="A31" s="29"/>
      <c r="B31" s="6" t="s">
        <v>83</v>
      </c>
      <c r="C31" s="7" t="s">
        <v>19</v>
      </c>
      <c r="D31" s="8"/>
      <c r="E31" s="9"/>
      <c r="F31" s="10" t="str">
        <f>IF(D31="","",D31*(1+E31))</f>
        <v/>
      </c>
      <c r="G31" s="11" t="str">
        <f>IF(D31="","",D31/5)</f>
        <v/>
      </c>
      <c r="H31" s="12"/>
      <c r="I31" s="4"/>
      <c r="J31" s="4"/>
      <c r="K31" s="4"/>
    </row>
    <row r="32" spans="1:11" x14ac:dyDescent="0.25">
      <c r="A32" s="25" t="s">
        <v>30</v>
      </c>
      <c r="B32" s="25"/>
      <c r="C32" s="25"/>
      <c r="D32" s="17" t="str">
        <f>IF(SUM(D30:D31)=0,"",D30+D31)</f>
        <v/>
      </c>
      <c r="E32" s="18"/>
      <c r="F32" s="17" t="str">
        <f>IF(SUM(F30:F31)=0,"",F30+F31)</f>
        <v/>
      </c>
      <c r="G32" s="19"/>
      <c r="H32" s="20"/>
      <c r="I32" s="4"/>
      <c r="J32" s="4"/>
      <c r="K32" s="4"/>
    </row>
    <row r="33" spans="1:11" x14ac:dyDescent="0.25">
      <c r="D33" s="4"/>
      <c r="E33" s="14"/>
      <c r="F33" s="15"/>
      <c r="G33" s="16"/>
      <c r="H33" s="15"/>
      <c r="I33" s="4"/>
      <c r="J33" s="4"/>
      <c r="K33" s="4"/>
    </row>
    <row r="34" spans="1:11" ht="30.75" x14ac:dyDescent="0.25">
      <c r="A34" s="29" t="s">
        <v>31</v>
      </c>
      <c r="B34" s="6" t="s">
        <v>87</v>
      </c>
      <c r="C34" s="7" t="s">
        <v>19</v>
      </c>
      <c r="D34" s="8"/>
      <c r="E34" s="9"/>
      <c r="F34" s="10" t="str">
        <f t="shared" ref="F34:F43" si="0">IF(D34="","",D34*(1+E34))</f>
        <v/>
      </c>
      <c r="G34" s="11" t="str">
        <f t="shared" ref="G34:G43" si="1">IF(D34="","",D34/10)</f>
        <v/>
      </c>
      <c r="H34" s="12"/>
      <c r="I34" s="4"/>
      <c r="J34" s="4"/>
      <c r="K34" s="4"/>
    </row>
    <row r="35" spans="1:11" ht="30.75" x14ac:dyDescent="0.25">
      <c r="A35" s="29"/>
      <c r="B35" s="6" t="s">
        <v>84</v>
      </c>
      <c r="C35" s="7" t="s">
        <v>19</v>
      </c>
      <c r="D35" s="8"/>
      <c r="E35" s="9"/>
      <c r="F35" s="10" t="str">
        <f t="shared" si="0"/>
        <v/>
      </c>
      <c r="G35" s="11" t="str">
        <f t="shared" si="1"/>
        <v/>
      </c>
      <c r="H35" s="12"/>
      <c r="I35" s="4"/>
      <c r="J35" s="4"/>
      <c r="K35" s="4"/>
    </row>
    <row r="36" spans="1:11" ht="30.75" x14ac:dyDescent="0.25">
      <c r="A36" s="29"/>
      <c r="B36" s="6" t="s">
        <v>85</v>
      </c>
      <c r="C36" s="7" t="s">
        <v>19</v>
      </c>
      <c r="D36" s="8"/>
      <c r="E36" s="9"/>
      <c r="F36" s="10" t="str">
        <f t="shared" si="0"/>
        <v/>
      </c>
      <c r="G36" s="11" t="str">
        <f t="shared" si="1"/>
        <v/>
      </c>
      <c r="H36" s="12"/>
      <c r="I36" s="4"/>
      <c r="J36" s="4"/>
      <c r="K36" s="4"/>
    </row>
    <row r="37" spans="1:11" ht="30.75" x14ac:dyDescent="0.25">
      <c r="A37" s="29"/>
      <c r="B37" s="6" t="s">
        <v>81</v>
      </c>
      <c r="C37" s="7" t="s">
        <v>19</v>
      </c>
      <c r="D37" s="8"/>
      <c r="E37" s="9"/>
      <c r="F37" s="10" t="str">
        <f t="shared" si="0"/>
        <v/>
      </c>
      <c r="G37" s="11" t="str">
        <f t="shared" si="1"/>
        <v/>
      </c>
      <c r="H37" s="12"/>
      <c r="I37" s="4"/>
      <c r="J37" s="4"/>
      <c r="K37" s="4"/>
    </row>
    <row r="38" spans="1:11" ht="30.75" x14ac:dyDescent="0.25">
      <c r="A38" s="29"/>
      <c r="B38" s="6" t="s">
        <v>80</v>
      </c>
      <c r="C38" s="7" t="s">
        <v>19</v>
      </c>
      <c r="D38" s="8"/>
      <c r="E38" s="9"/>
      <c r="F38" s="10" t="str">
        <f t="shared" si="0"/>
        <v/>
      </c>
      <c r="G38" s="11" t="str">
        <f t="shared" si="1"/>
        <v/>
      </c>
      <c r="H38" s="12"/>
      <c r="I38" s="4"/>
      <c r="J38" s="4"/>
      <c r="K38" s="4"/>
    </row>
    <row r="39" spans="1:11" ht="30.75" x14ac:dyDescent="0.25">
      <c r="A39" s="29"/>
      <c r="B39" s="6" t="s">
        <v>79</v>
      </c>
      <c r="C39" s="7" t="s">
        <v>19</v>
      </c>
      <c r="D39" s="8"/>
      <c r="E39" s="9"/>
      <c r="F39" s="10" t="str">
        <f t="shared" si="0"/>
        <v/>
      </c>
      <c r="G39" s="11" t="str">
        <f t="shared" si="1"/>
        <v/>
      </c>
      <c r="H39" s="12"/>
      <c r="I39" s="4"/>
      <c r="J39" s="4"/>
      <c r="K39" s="4"/>
    </row>
    <row r="40" spans="1:11" ht="30.75" x14ac:dyDescent="0.25">
      <c r="A40" s="29"/>
      <c r="B40" s="6" t="s">
        <v>78</v>
      </c>
      <c r="C40" s="7" t="s">
        <v>19</v>
      </c>
      <c r="D40" s="8"/>
      <c r="E40" s="9"/>
      <c r="F40" s="10" t="str">
        <f t="shared" si="0"/>
        <v/>
      </c>
      <c r="G40" s="11" t="str">
        <f t="shared" si="1"/>
        <v/>
      </c>
      <c r="H40" s="12"/>
      <c r="I40" s="4"/>
      <c r="J40" s="4"/>
      <c r="K40" s="4"/>
    </row>
    <row r="41" spans="1:11" ht="30.75" x14ac:dyDescent="0.25">
      <c r="A41" s="29"/>
      <c r="B41" s="6" t="s">
        <v>76</v>
      </c>
      <c r="C41" s="7" t="s">
        <v>19</v>
      </c>
      <c r="D41" s="8"/>
      <c r="E41" s="9"/>
      <c r="F41" s="10" t="str">
        <f t="shared" si="0"/>
        <v/>
      </c>
      <c r="G41" s="11" t="str">
        <f t="shared" si="1"/>
        <v/>
      </c>
      <c r="H41" s="12"/>
      <c r="I41" s="4"/>
      <c r="J41" s="4"/>
      <c r="K41" s="4"/>
    </row>
    <row r="42" spans="1:11" ht="30.75" x14ac:dyDescent="0.25">
      <c r="A42" s="29"/>
      <c r="B42" s="6" t="s">
        <v>75</v>
      </c>
      <c r="C42" s="7" t="s">
        <v>19</v>
      </c>
      <c r="D42" s="8"/>
      <c r="E42" s="9"/>
      <c r="F42" s="10" t="str">
        <f t="shared" si="0"/>
        <v/>
      </c>
      <c r="G42" s="11" t="str">
        <f t="shared" si="1"/>
        <v/>
      </c>
      <c r="H42" s="12"/>
      <c r="I42" s="4"/>
      <c r="J42" s="4"/>
      <c r="K42" s="4"/>
    </row>
    <row r="43" spans="1:11" ht="30.75" x14ac:dyDescent="0.25">
      <c r="A43" s="29"/>
      <c r="B43" s="6" t="s">
        <v>77</v>
      </c>
      <c r="C43" s="7" t="s">
        <v>19</v>
      </c>
      <c r="D43" s="8"/>
      <c r="E43" s="9"/>
      <c r="F43" s="10" t="str">
        <f t="shared" si="0"/>
        <v/>
      </c>
      <c r="G43" s="11" t="str">
        <f t="shared" si="1"/>
        <v/>
      </c>
      <c r="H43" s="12"/>
      <c r="I43" s="4"/>
      <c r="J43" s="4"/>
      <c r="K43" s="4"/>
    </row>
    <row r="44" spans="1:11" x14ac:dyDescent="0.25">
      <c r="A44" s="25" t="s">
        <v>32</v>
      </c>
      <c r="B44" s="25"/>
      <c r="C44" s="25"/>
      <c r="D44" s="17" t="str">
        <f>IF(SUM(D34:D43)=0,"",D34+D35+D36+D37+D38+D39+D40+D41+D42+D43)</f>
        <v/>
      </c>
      <c r="E44" s="18"/>
      <c r="F44" s="17" t="str">
        <f>IF(SUM(F34:F43)=0,"",F34+F35+F36+F37+F38+F39+F40+F41+F42+F43)</f>
        <v/>
      </c>
      <c r="G44" s="19"/>
      <c r="H44" s="20"/>
      <c r="I44" s="4"/>
      <c r="J44" s="4"/>
      <c r="K44" s="4"/>
    </row>
    <row r="45" spans="1:11" x14ac:dyDescent="0.25">
      <c r="D45" s="4"/>
      <c r="E45" s="14"/>
      <c r="F45" s="15"/>
      <c r="G45" s="16"/>
      <c r="H45" s="15"/>
      <c r="I45" s="4"/>
      <c r="J45" s="4"/>
      <c r="K45" s="4"/>
    </row>
    <row r="46" spans="1:11" ht="30.75" x14ac:dyDescent="0.25">
      <c r="A46" s="5" t="s">
        <v>33</v>
      </c>
      <c r="B46" s="6" t="s">
        <v>88</v>
      </c>
      <c r="C46" s="7" t="s">
        <v>19</v>
      </c>
      <c r="D46" s="8"/>
      <c r="E46" s="9"/>
      <c r="F46" s="10" t="str">
        <f>IF(D46="","",D46*(1+E46))</f>
        <v/>
      </c>
      <c r="G46" s="11" t="str">
        <f>IF(D46="","",D46/10)</f>
        <v/>
      </c>
      <c r="H46" s="12"/>
      <c r="I46" s="4"/>
      <c r="J46" s="4"/>
      <c r="K46" s="4"/>
    </row>
    <row r="47" spans="1:11" ht="30" x14ac:dyDescent="0.25">
      <c r="A47" s="5" t="s">
        <v>34</v>
      </c>
      <c r="B47" s="6" t="s">
        <v>35</v>
      </c>
      <c r="C47" s="7" t="s">
        <v>19</v>
      </c>
      <c r="D47" s="8"/>
      <c r="E47" s="9"/>
      <c r="F47" s="10" t="str">
        <f>IF(D47="","",D47*(1+E47))</f>
        <v/>
      </c>
      <c r="G47" s="11" t="str">
        <f>IF(D47="","",D47/1)</f>
        <v/>
      </c>
      <c r="H47" s="12"/>
      <c r="I47" s="4"/>
      <c r="J47" s="4"/>
      <c r="K47" s="4"/>
    </row>
    <row r="48" spans="1:11" x14ac:dyDescent="0.25">
      <c r="D48" s="4"/>
      <c r="E48" s="4"/>
      <c r="F48" s="4"/>
      <c r="G48" s="4"/>
      <c r="H48" s="4"/>
      <c r="I48" s="4"/>
      <c r="J48" s="4"/>
      <c r="K48" s="4"/>
    </row>
    <row r="49" spans="1:11" x14ac:dyDescent="0.25">
      <c r="A49" s="30" t="s">
        <v>36</v>
      </c>
      <c r="B49" s="30"/>
      <c r="C49" s="30"/>
      <c r="D49" s="30"/>
      <c r="E49" s="30"/>
      <c r="F49" s="30"/>
      <c r="G49" s="30"/>
      <c r="H49" s="4"/>
      <c r="I49" s="4"/>
      <c r="J49" s="4"/>
      <c r="K49" s="4"/>
    </row>
    <row r="50" spans="1:11" ht="45" x14ac:dyDescent="0.25">
      <c r="A50" s="5" t="s">
        <v>37</v>
      </c>
      <c r="B50" s="6" t="s">
        <v>38</v>
      </c>
      <c r="C50" s="7" t="s">
        <v>19</v>
      </c>
      <c r="D50" s="8"/>
      <c r="E50" s="9"/>
      <c r="F50" s="10" t="str">
        <f>IF(D50="","",D50*(1+E50))</f>
        <v/>
      </c>
      <c r="G50" s="11" t="str">
        <f>IF(D50="","",D50/1)</f>
        <v/>
      </c>
      <c r="H50" s="12"/>
      <c r="I50" s="4"/>
      <c r="J50" s="4"/>
      <c r="K50" s="4"/>
    </row>
    <row r="51" spans="1:11" ht="45" x14ac:dyDescent="0.25">
      <c r="A51" s="5" t="s">
        <v>39</v>
      </c>
      <c r="B51" s="6" t="s">
        <v>40</v>
      </c>
      <c r="C51" s="7" t="s">
        <v>19</v>
      </c>
      <c r="D51" s="8"/>
      <c r="E51" s="9"/>
      <c r="F51" s="10" t="str">
        <f>IF(D51="","",D51*(1+E51))</f>
        <v/>
      </c>
      <c r="G51" s="11" t="str">
        <f>IF(D51="","",D51/3)</f>
        <v/>
      </c>
      <c r="H51" s="12"/>
      <c r="I51" s="4"/>
      <c r="J51" s="4"/>
      <c r="K51" s="4"/>
    </row>
    <row r="52" spans="1:11" x14ac:dyDescent="0.25">
      <c r="D52" s="4"/>
      <c r="E52" s="14"/>
      <c r="F52" s="15"/>
      <c r="G52" s="16"/>
      <c r="H52" s="15"/>
      <c r="I52" s="4"/>
      <c r="J52" s="4"/>
      <c r="K52" s="4"/>
    </row>
    <row r="53" spans="1:11" ht="30" x14ac:dyDescent="0.25">
      <c r="A53" s="5" t="s">
        <v>41</v>
      </c>
      <c r="B53" s="6" t="s">
        <v>42</v>
      </c>
      <c r="C53" s="7" t="s">
        <v>19</v>
      </c>
      <c r="D53" s="8"/>
      <c r="E53" s="9"/>
      <c r="F53" s="10" t="str">
        <f>IF(D53="","",D53*(1+E53))</f>
        <v/>
      </c>
      <c r="G53" s="11" t="str">
        <f>IF(D53="","",D53/1)</f>
        <v/>
      </c>
      <c r="H53" s="12"/>
      <c r="I53" s="4"/>
      <c r="J53" s="4"/>
      <c r="K53" s="4"/>
    </row>
    <row r="54" spans="1:11" ht="30" x14ac:dyDescent="0.25">
      <c r="A54" s="5" t="s">
        <v>43</v>
      </c>
      <c r="B54" s="6" t="s">
        <v>44</v>
      </c>
      <c r="C54" s="7" t="s">
        <v>19</v>
      </c>
      <c r="D54" s="8"/>
      <c r="E54" s="9"/>
      <c r="F54" s="10" t="str">
        <f>IF(D54="","",D54*(1+E54))</f>
        <v/>
      </c>
      <c r="G54" s="11" t="str">
        <f>IF(D54="","",D54/3)</f>
        <v/>
      </c>
      <c r="H54" s="12"/>
      <c r="I54" s="4"/>
      <c r="J54" s="4"/>
      <c r="K54" s="4"/>
    </row>
    <row r="55" spans="1:11" x14ac:dyDescent="0.25">
      <c r="A55" s="25" t="s">
        <v>45</v>
      </c>
      <c r="B55" s="25"/>
      <c r="C55" s="25"/>
      <c r="D55" s="17" t="str">
        <f>IF(SUM(D53:D54)=0,"",D53+D54)</f>
        <v/>
      </c>
      <c r="E55" s="18"/>
      <c r="F55" s="17" t="str">
        <f>IF(SUM(F53:F54)=0,"",F53+F54)</f>
        <v/>
      </c>
      <c r="G55" s="19"/>
      <c r="H55" s="20"/>
      <c r="I55" s="4"/>
      <c r="J55" s="4"/>
      <c r="K55" s="4"/>
    </row>
    <row r="56" spans="1:11" x14ac:dyDescent="0.25">
      <c r="D56" s="4"/>
      <c r="E56" s="14"/>
      <c r="F56" s="15"/>
      <c r="G56" s="16"/>
      <c r="H56" s="15"/>
      <c r="I56" s="4"/>
      <c r="J56" s="4"/>
      <c r="K56" s="4"/>
    </row>
    <row r="57" spans="1:11" ht="30" x14ac:dyDescent="0.25">
      <c r="A57" s="5" t="s">
        <v>46</v>
      </c>
      <c r="B57" s="6" t="s">
        <v>47</v>
      </c>
      <c r="C57" s="7" t="s">
        <v>19</v>
      </c>
      <c r="D57" s="8"/>
      <c r="E57" s="9"/>
      <c r="F57" s="10" t="str">
        <f>IF(D57="","",D57*(1+E57))</f>
        <v/>
      </c>
      <c r="G57" s="11" t="str">
        <f>IF(D57="","",D57/1)</f>
        <v/>
      </c>
      <c r="H57" s="12"/>
      <c r="I57" s="4"/>
      <c r="J57" s="4"/>
      <c r="K57" s="4"/>
    </row>
    <row r="58" spans="1:11" ht="45" x14ac:dyDescent="0.25">
      <c r="A58" s="5" t="s">
        <v>48</v>
      </c>
      <c r="B58" s="6" t="s">
        <v>49</v>
      </c>
      <c r="C58" s="7" t="s">
        <v>19</v>
      </c>
      <c r="D58" s="8"/>
      <c r="E58" s="9"/>
      <c r="F58" s="10" t="str">
        <f>IF(D58="","",D58*(1+E58))</f>
        <v/>
      </c>
      <c r="G58" s="11" t="str">
        <f>IF(D58="","",D58/3)</f>
        <v/>
      </c>
      <c r="H58" s="12"/>
      <c r="I58" s="4"/>
      <c r="J58" s="4"/>
      <c r="K58" s="4"/>
    </row>
    <row r="59" spans="1:11" x14ac:dyDescent="0.25">
      <c r="A59" s="25" t="s">
        <v>50</v>
      </c>
      <c r="B59" s="25"/>
      <c r="C59" s="25"/>
      <c r="D59" s="17" t="str">
        <f>IF(SUM(D57:D58)=0,"",D57+D58)</f>
        <v/>
      </c>
      <c r="E59" s="18"/>
      <c r="F59" s="17" t="str">
        <f>IF(SUM(F57:F58)=0,"",F57+F58)</f>
        <v/>
      </c>
      <c r="G59" s="19"/>
      <c r="H59" s="20"/>
      <c r="I59" s="4"/>
      <c r="J59" s="4"/>
      <c r="K59" s="4"/>
    </row>
    <row r="60" spans="1:11" x14ac:dyDescent="0.25">
      <c r="D60" s="4"/>
      <c r="E60" s="14"/>
      <c r="F60" s="15"/>
      <c r="G60" s="16"/>
      <c r="H60" s="15"/>
      <c r="I60" s="4"/>
      <c r="J60" s="4"/>
      <c r="K60" s="4"/>
    </row>
    <row r="61" spans="1:11" ht="45" x14ac:dyDescent="0.25">
      <c r="A61" s="5" t="s">
        <v>51</v>
      </c>
      <c r="B61" s="6" t="s">
        <v>52</v>
      </c>
      <c r="C61" s="7" t="s">
        <v>19</v>
      </c>
      <c r="D61" s="8"/>
      <c r="E61" s="9"/>
      <c r="F61" s="10" t="str">
        <f>IF(D61="","",D61*(1+E61))</f>
        <v/>
      </c>
      <c r="G61" s="11" t="str">
        <f>IF(D61="","",D61/1)</f>
        <v/>
      </c>
      <c r="H61" s="12"/>
      <c r="I61" s="4"/>
      <c r="J61" s="4"/>
      <c r="K61" s="4"/>
    </row>
    <row r="62" spans="1:11" ht="30" x14ac:dyDescent="0.25">
      <c r="A62" s="5" t="s">
        <v>53</v>
      </c>
      <c r="B62" s="6" t="s">
        <v>54</v>
      </c>
      <c r="C62" s="7" t="s">
        <v>19</v>
      </c>
      <c r="D62" s="8"/>
      <c r="E62" s="9"/>
      <c r="F62" s="10" t="str">
        <f>IF(D62="","",D62*(1+E62))</f>
        <v/>
      </c>
      <c r="G62" s="11" t="str">
        <f>IF(D62="","",D62/3)</f>
        <v/>
      </c>
      <c r="H62" s="12"/>
      <c r="I62" s="4"/>
      <c r="J62" s="4"/>
      <c r="K62" s="4"/>
    </row>
    <row r="63" spans="1:11" x14ac:dyDescent="0.25">
      <c r="A63" s="25" t="s">
        <v>55</v>
      </c>
      <c r="B63" s="25"/>
      <c r="C63" s="25"/>
      <c r="D63" s="17" t="str">
        <f>IF(SUM(D61:D62)=0,"",D61+D62)</f>
        <v/>
      </c>
      <c r="E63" s="18"/>
      <c r="F63" s="17" t="str">
        <f>IF(SUM(F61:F62)=0,"",F61+F62)</f>
        <v/>
      </c>
      <c r="G63" s="19"/>
      <c r="H63" s="20"/>
      <c r="I63" s="4"/>
      <c r="J63" s="4"/>
      <c r="K63" s="4"/>
    </row>
    <row r="64" spans="1:11" x14ac:dyDescent="0.25">
      <c r="D64" s="4"/>
      <c r="E64" s="4"/>
      <c r="F64" s="4"/>
      <c r="G64" s="4"/>
      <c r="H64" s="4"/>
      <c r="I64" s="4"/>
      <c r="J64" s="4"/>
      <c r="K64" s="4"/>
    </row>
    <row r="65" spans="1:11" x14ac:dyDescent="0.25">
      <c r="A65" s="28" t="s">
        <v>56</v>
      </c>
      <c r="B65" s="28"/>
      <c r="C65" s="28"/>
      <c r="D65" s="28"/>
      <c r="E65" s="28"/>
      <c r="F65" s="28"/>
      <c r="G65" s="28"/>
      <c r="H65" s="4"/>
      <c r="I65" s="4"/>
      <c r="J65" s="4"/>
      <c r="K65" s="4"/>
    </row>
    <row r="66" spans="1:11" x14ac:dyDescent="0.25">
      <c r="A66" s="25" t="s">
        <v>17</v>
      </c>
      <c r="B66" s="25"/>
      <c r="C66" s="25"/>
      <c r="D66" s="17" t="str">
        <f>IF(D19="","",D19)</f>
        <v/>
      </c>
      <c r="E66" s="21"/>
      <c r="F66" s="17" t="str">
        <f>IF(F19="","",F19)</f>
        <v/>
      </c>
      <c r="G66" s="21"/>
      <c r="H66" s="20"/>
      <c r="I66" s="4"/>
      <c r="J66" s="4"/>
      <c r="K66" s="4"/>
    </row>
    <row r="67" spans="1:11" x14ac:dyDescent="0.25">
      <c r="A67" s="25" t="s">
        <v>57</v>
      </c>
      <c r="B67" s="25"/>
      <c r="C67" s="25"/>
      <c r="D67" s="17" t="str">
        <f>IF(D22="","",D22)</f>
        <v/>
      </c>
      <c r="E67" s="21"/>
      <c r="F67" s="17" t="str">
        <f>IF(F22="","",F22)</f>
        <v/>
      </c>
      <c r="G67" s="21"/>
      <c r="H67" s="20"/>
      <c r="I67" s="4"/>
      <c r="J67" s="4"/>
      <c r="K67" s="4"/>
    </row>
    <row r="68" spans="1:11" x14ac:dyDescent="0.25">
      <c r="A68" s="25" t="s">
        <v>58</v>
      </c>
      <c r="B68" s="25"/>
      <c r="C68" s="25"/>
      <c r="D68" s="17" t="str">
        <f>IF(D23="","",D23)</f>
        <v/>
      </c>
      <c r="E68" s="21"/>
      <c r="F68" s="17" t="str">
        <f>IF(F23="","",F23)</f>
        <v/>
      </c>
      <c r="G68" s="21"/>
      <c r="H68" s="20"/>
      <c r="I68" s="4"/>
      <c r="J68" s="4"/>
      <c r="K68" s="4"/>
    </row>
    <row r="69" spans="1:11" x14ac:dyDescent="0.25">
      <c r="A69" s="25" t="s">
        <v>59</v>
      </c>
      <c r="B69" s="25"/>
      <c r="C69" s="25"/>
      <c r="D69" s="17" t="str">
        <f>IF(D24="","",D24)</f>
        <v/>
      </c>
      <c r="E69" s="21"/>
      <c r="F69" s="17" t="str">
        <f>IF(F24="","",F24)</f>
        <v/>
      </c>
      <c r="G69" s="21"/>
      <c r="H69" s="20"/>
      <c r="I69" s="4"/>
      <c r="J69" s="4"/>
      <c r="K69" s="4"/>
    </row>
    <row r="70" spans="1:11" x14ac:dyDescent="0.25">
      <c r="A70" s="25" t="s">
        <v>60</v>
      </c>
      <c r="B70" s="25"/>
      <c r="C70" s="25"/>
      <c r="D70" s="17" t="str">
        <f>IF(D28="","",D28)</f>
        <v/>
      </c>
      <c r="E70" s="21"/>
      <c r="F70" s="17" t="str">
        <f>IF(F28="","",F28)</f>
        <v/>
      </c>
      <c r="G70" s="21"/>
      <c r="H70" s="20"/>
      <c r="I70" s="4"/>
      <c r="J70" s="4"/>
      <c r="K70" s="4"/>
    </row>
    <row r="71" spans="1:11" x14ac:dyDescent="0.25">
      <c r="A71" s="25" t="s">
        <v>61</v>
      </c>
      <c r="B71" s="25"/>
      <c r="C71" s="25"/>
      <c r="D71" s="17" t="str">
        <f>IF(D32="","",D32)</f>
        <v/>
      </c>
      <c r="E71" s="21"/>
      <c r="F71" s="17" t="str">
        <f>IF(F32="","",F32)</f>
        <v/>
      </c>
      <c r="G71" s="21"/>
      <c r="H71" s="20"/>
      <c r="I71" s="4"/>
      <c r="J71" s="4"/>
      <c r="K71" s="4"/>
    </row>
    <row r="72" spans="1:11" x14ac:dyDescent="0.25">
      <c r="A72" s="25" t="s">
        <v>62</v>
      </c>
      <c r="B72" s="25"/>
      <c r="C72" s="25"/>
      <c r="D72" s="17" t="str">
        <f>IF(D44="","",D44)</f>
        <v/>
      </c>
      <c r="E72" s="21"/>
      <c r="F72" s="17" t="str">
        <f>IF(F44="","",F44)</f>
        <v/>
      </c>
      <c r="G72" s="21"/>
      <c r="H72" s="20"/>
      <c r="I72" s="4"/>
      <c r="J72" s="4"/>
      <c r="K72" s="4"/>
    </row>
    <row r="73" spans="1:11" x14ac:dyDescent="0.25">
      <c r="A73" s="25" t="s">
        <v>63</v>
      </c>
      <c r="B73" s="25"/>
      <c r="C73" s="25"/>
      <c r="D73" s="17" t="str">
        <f>IF(D46="","",D46)</f>
        <v/>
      </c>
      <c r="E73" s="21"/>
      <c r="F73" s="17" t="str">
        <f>IF(F46="","",F46)</f>
        <v/>
      </c>
      <c r="G73" s="21"/>
      <c r="H73" s="20"/>
      <c r="I73" s="4"/>
      <c r="J73" s="4"/>
      <c r="K73" s="4"/>
    </row>
    <row r="74" spans="1:11" x14ac:dyDescent="0.25">
      <c r="A74" s="25" t="s">
        <v>64</v>
      </c>
      <c r="B74" s="25"/>
      <c r="C74" s="25"/>
      <c r="D74" s="17" t="str">
        <f>IF(D47="","",D47)</f>
        <v/>
      </c>
      <c r="E74" s="21"/>
      <c r="F74" s="17" t="str">
        <f>IF(F47="","",F47)</f>
        <v/>
      </c>
      <c r="G74" s="21"/>
      <c r="H74" s="20"/>
      <c r="I74" s="4"/>
      <c r="J74" s="4"/>
      <c r="K74" s="4"/>
    </row>
    <row r="75" spans="1:11" x14ac:dyDescent="0.25">
      <c r="A75" s="25" t="s">
        <v>65</v>
      </c>
      <c r="B75" s="25"/>
      <c r="C75" s="25"/>
      <c r="D75" s="17" t="str">
        <f>IF(D50="","",D50)</f>
        <v/>
      </c>
      <c r="E75" s="21"/>
      <c r="F75" s="17" t="str">
        <f>IF(F50="","",F50)</f>
        <v/>
      </c>
      <c r="G75" s="21"/>
      <c r="H75" s="20"/>
      <c r="I75" s="4"/>
      <c r="J75" s="4"/>
      <c r="K75" s="4"/>
    </row>
    <row r="76" spans="1:11" x14ac:dyDescent="0.25">
      <c r="A76" s="25" t="s">
        <v>66</v>
      </c>
      <c r="B76" s="25"/>
      <c r="C76" s="25"/>
      <c r="D76" s="17" t="str">
        <f>IF(D51="","",D51)</f>
        <v/>
      </c>
      <c r="E76" s="21"/>
      <c r="F76" s="17" t="str">
        <f>IF(F51="","",F51)</f>
        <v/>
      </c>
      <c r="G76" s="21"/>
      <c r="H76" s="20"/>
      <c r="I76" s="4"/>
      <c r="J76" s="4"/>
      <c r="K76" s="4"/>
    </row>
    <row r="77" spans="1:11" x14ac:dyDescent="0.25">
      <c r="A77" s="25" t="s">
        <v>67</v>
      </c>
      <c r="B77" s="25"/>
      <c r="C77" s="25"/>
      <c r="D77" s="17" t="str">
        <f>IF(D55="","",D55)</f>
        <v/>
      </c>
      <c r="E77" s="21"/>
      <c r="F77" s="17" t="str">
        <f>IF(F55="","",F55)</f>
        <v/>
      </c>
      <c r="G77" s="21"/>
      <c r="H77" s="20"/>
      <c r="I77" s="4"/>
      <c r="J77" s="4"/>
      <c r="K77" s="4"/>
    </row>
    <row r="78" spans="1:11" x14ac:dyDescent="0.25">
      <c r="A78" s="25" t="s">
        <v>68</v>
      </c>
      <c r="B78" s="25"/>
      <c r="C78" s="25"/>
      <c r="D78" s="17" t="str">
        <f>IF(D59="","",D59)</f>
        <v/>
      </c>
      <c r="E78" s="21"/>
      <c r="F78" s="17" t="str">
        <f>IF(F59="","",F59)</f>
        <v/>
      </c>
      <c r="G78" s="21"/>
      <c r="H78" s="20"/>
      <c r="I78" s="4"/>
      <c r="J78" s="4"/>
      <c r="K78" s="4"/>
    </row>
    <row r="79" spans="1:11" x14ac:dyDescent="0.25">
      <c r="A79" s="25" t="s">
        <v>69</v>
      </c>
      <c r="B79" s="25"/>
      <c r="C79" s="25"/>
      <c r="D79" s="17" t="str">
        <f>IF(D63="","",D63)</f>
        <v/>
      </c>
      <c r="E79" s="21"/>
      <c r="F79" s="17" t="str">
        <f>IF(F63="","",F63)</f>
        <v/>
      </c>
      <c r="G79" s="21"/>
      <c r="H79" s="20"/>
      <c r="I79" s="4"/>
      <c r="J79" s="4"/>
      <c r="K79" s="4"/>
    </row>
    <row r="80" spans="1:11" x14ac:dyDescent="0.25">
      <c r="D80" s="4"/>
      <c r="E80" s="4"/>
      <c r="F80" s="4"/>
      <c r="G80" s="4"/>
      <c r="H80" s="4"/>
      <c r="I80" s="4"/>
      <c r="J80" s="4"/>
      <c r="K80" s="4"/>
    </row>
    <row r="81" spans="1:11" x14ac:dyDescent="0.25">
      <c r="A81" s="26" t="s">
        <v>70</v>
      </c>
      <c r="B81" s="26"/>
      <c r="C81" s="26"/>
      <c r="D81" s="22" t="str">
        <f>IF(D19="","",D19)</f>
        <v/>
      </c>
      <c r="E81" s="23"/>
      <c r="F81" s="22" t="str">
        <f>IF(F19="","",F19)</f>
        <v/>
      </c>
      <c r="G81" s="23"/>
      <c r="H81" s="24"/>
      <c r="I81" s="4"/>
      <c r="J81" s="4"/>
      <c r="K81" s="4"/>
    </row>
    <row r="82" spans="1:11" x14ac:dyDescent="0.25">
      <c r="D82" s="4"/>
      <c r="E82" s="4"/>
      <c r="F82" s="4"/>
      <c r="G82" s="4"/>
      <c r="H82" s="4"/>
      <c r="I82" s="4"/>
      <c r="J82" s="4"/>
      <c r="K82" s="4"/>
    </row>
    <row r="83" spans="1:11" ht="63" customHeight="1" x14ac:dyDescent="0.25">
      <c r="A83" s="27" t="s">
        <v>71</v>
      </c>
      <c r="B83" s="27"/>
      <c r="C83" s="27"/>
      <c r="D83" s="27"/>
      <c r="E83" s="27"/>
      <c r="F83" s="27"/>
      <c r="G83" s="27"/>
      <c r="H83" s="4"/>
      <c r="I83" s="4"/>
      <c r="J83" s="4"/>
      <c r="K83" s="4"/>
    </row>
  </sheetData>
  <mergeCells count="46">
    <mergeCell ref="A1:G1"/>
    <mergeCell ref="A2:G2"/>
    <mergeCell ref="A3:G3"/>
    <mergeCell ref="A4:G4"/>
    <mergeCell ref="A6:G6"/>
    <mergeCell ref="A8:H8"/>
    <mergeCell ref="A9:C9"/>
    <mergeCell ref="D9:H9"/>
    <mergeCell ref="A10:C10"/>
    <mergeCell ref="D10:H10"/>
    <mergeCell ref="A11:C11"/>
    <mergeCell ref="D11:H11"/>
    <mergeCell ref="A12:C12"/>
    <mergeCell ref="D12:H12"/>
    <mergeCell ref="A13:C13"/>
    <mergeCell ref="D13:H13"/>
    <mergeCell ref="A15:G15"/>
    <mergeCell ref="A18:G18"/>
    <mergeCell ref="A21:G21"/>
    <mergeCell ref="A26:A27"/>
    <mergeCell ref="A28:C28"/>
    <mergeCell ref="A30:A31"/>
    <mergeCell ref="A32:C32"/>
    <mergeCell ref="A34:A43"/>
    <mergeCell ref="A44:C44"/>
    <mergeCell ref="A49:G49"/>
    <mergeCell ref="A55:C55"/>
    <mergeCell ref="A59:C59"/>
    <mergeCell ref="A63:C63"/>
    <mergeCell ref="A65:G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1:C81"/>
    <mergeCell ref="A83:G83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345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CRF </vt:lpstr>
      <vt:lpstr>'CRF 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GUILLERMO Marjorie (guilmarj)</cp:lastModifiedBy>
  <cp:revision>1</cp:revision>
  <dcterms:created xsi:type="dcterms:W3CDTF">2026-05-21T20:06:54Z</dcterms:created>
  <dcterms:modified xsi:type="dcterms:W3CDTF">2026-06-16T14:17:28Z</dcterms:modified>
  <dc:language>en-US</dc:language>
</cp:coreProperties>
</file>