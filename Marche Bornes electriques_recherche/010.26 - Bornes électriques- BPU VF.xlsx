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RMA9910\OneDrive - France Travail\Documents\010.26 - Bornes IRVE\DCE VF\"/>
    </mc:Choice>
  </mc:AlternateContent>
  <xr:revisionPtr revIDLastSave="0" documentId="13_ncr:1_{AA02DA2B-A438-49BD-80F1-682503E974E1}" xr6:coauthVersionLast="47" xr6:coauthVersionMax="47" xr10:uidLastSave="{00000000-0000-0000-0000-000000000000}"/>
  <bookViews>
    <workbookView xWindow="-108" yWindow="-108" windowWidth="23256" windowHeight="12576" xr2:uid="{A28B9A0A-CF5D-46E4-911E-1465451CB087}"/>
  </bookViews>
  <sheets>
    <sheet name="BPU" sheetId="1" r:id="rId1"/>
  </sheets>
  <definedNames>
    <definedName name="_xlnm._FilterDatabase" localSheetId="0" hidden="1">BPU!$A$13:$WVO$99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4" i="1" l="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alcChain>
</file>

<file path=xl/sharedStrings.xml><?xml version="1.0" encoding="utf-8"?>
<sst xmlns="http://schemas.openxmlformats.org/spreadsheetml/2006/main" count="542" uniqueCount="251">
  <si>
    <t>Raison ou dénomination sociale</t>
  </si>
  <si>
    <t>N ° Siret</t>
  </si>
  <si>
    <t>Taux de TVA</t>
  </si>
  <si>
    <t>%</t>
  </si>
  <si>
    <r>
      <t>Sous peine d'irrecevabilité de l'offre, le candidat ne modifie ni les intitulés ni le nomb</t>
    </r>
    <r>
      <rPr>
        <b/>
        <sz val="10"/>
        <rFont val="Arial"/>
        <family val="2"/>
      </rPr>
      <t>re d'UO</t>
    </r>
    <r>
      <rPr>
        <b/>
        <sz val="10"/>
        <color indexed="8"/>
        <rFont val="Arial"/>
        <family val="2"/>
      </rPr>
      <t xml:space="preserve"> prévus. Seules les cellules bleues doivent être complétées. </t>
    </r>
  </si>
  <si>
    <t>UO</t>
  </si>
  <si>
    <t xml:space="preserve">Désignation </t>
  </si>
  <si>
    <t>Indice de référence pour l'évolution (légende ci-après)</t>
  </si>
  <si>
    <t>Unité / Forfait</t>
  </si>
  <si>
    <t xml:space="preserve">Prix HT, 
en € </t>
  </si>
  <si>
    <t xml:space="preserve">Prix TTC, 
en € </t>
  </si>
  <si>
    <t>Equipements</t>
  </si>
  <si>
    <t>Fourniture</t>
  </si>
  <si>
    <t>UO2.1</t>
  </si>
  <si>
    <t>Borne 7 kw -  1 point  de charge -  sur pied</t>
  </si>
  <si>
    <t>Indice B</t>
  </si>
  <si>
    <t>Prix unitaire</t>
  </si>
  <si>
    <t>UO2.2</t>
  </si>
  <si>
    <t>Borne 7 kw -  1 point  de charge -  fixation murale</t>
  </si>
  <si>
    <t>UO2.3</t>
  </si>
  <si>
    <t>Borne 7 kw -  2 points  de charge -  sur pied</t>
  </si>
  <si>
    <t>UO2.4</t>
  </si>
  <si>
    <t>Borne 7 kw -  2 points  de charge -  fixation murale</t>
  </si>
  <si>
    <t>Borne 22 kw -  1 point  de charge -  sur pied</t>
  </si>
  <si>
    <t>Borne 22 kw -  1 point  de charge -  fixation murale</t>
  </si>
  <si>
    <t>Borne 22 kw -  2 points  de charge -  sur pied</t>
  </si>
  <si>
    <t>Borne 22 kw -  2 points  de charge -  fixation murale</t>
  </si>
  <si>
    <t>Pied pour borne simple</t>
  </si>
  <si>
    <t>Pied pour borne double</t>
  </si>
  <si>
    <t>Platine de fixation murale borne simple et son kit de fixation</t>
  </si>
  <si>
    <t>Platine de fixation murale borne double et son kit de fixation</t>
  </si>
  <si>
    <t>Fourniture et paramètrage Badge identification RFID (par Lot de 5) - dotation initiale et supplémentaire</t>
  </si>
  <si>
    <t>Prix du lot de 5 badges</t>
  </si>
  <si>
    <t>Fourniture et paramètrage Badge identification RFID (par unité) - Dotation intiale et supplemtnaireplém</t>
  </si>
  <si>
    <t>Badge supplémentaire</t>
  </si>
  <si>
    <t>Equipement télécom sur réseau cellulaire pour supervision</t>
  </si>
  <si>
    <t>Signalétique</t>
  </si>
  <si>
    <t>UO3.1</t>
  </si>
  <si>
    <t>Fourniture et pose panneau sur pied  yc pied et massif béton</t>
  </si>
  <si>
    <t>Indice C</t>
  </si>
  <si>
    <t>UO3.2</t>
  </si>
  <si>
    <t>Fourniture et pose du Marquage sol logo VE (30x60)</t>
  </si>
  <si>
    <t>UO3.3</t>
  </si>
  <si>
    <t>Identification de la place dédiée via peinture sol colorée en complément du logo</t>
  </si>
  <si>
    <t>UO3.4</t>
  </si>
  <si>
    <t>Fourniture et pose d'un Stop Roues</t>
  </si>
  <si>
    <t xml:space="preserve">Travaux de génie civil </t>
  </si>
  <si>
    <t>UO4.1</t>
  </si>
  <si>
    <t>Fourniture et pose d'un arceaux de protection acier galvanisé</t>
  </si>
  <si>
    <t xml:space="preserve">Création massif béton </t>
  </si>
  <si>
    <t>UO4.2</t>
  </si>
  <si>
    <t>Création d'un massif béton pour le TD</t>
  </si>
  <si>
    <t>UO4.3</t>
  </si>
  <si>
    <t xml:space="preserve">Création d'un massif béton pour borne sur pied pour borne AC </t>
  </si>
  <si>
    <t xml:space="preserve">Terrassement </t>
  </si>
  <si>
    <t>UO4.4</t>
  </si>
  <si>
    <t>Tranchée terre yc mise en sécurité, évacuation des déchets, remblaiement et remise en état (hors enrobé)</t>
  </si>
  <si>
    <t>Mètre linéaire</t>
  </si>
  <si>
    <t>UO4.5</t>
  </si>
  <si>
    <t>Tranchée béton yc mise en sécurité, évacuation des déchets, remblaiement et remise en état (hors enrobé)</t>
  </si>
  <si>
    <t>UO4.6</t>
  </si>
  <si>
    <t>Tous éléments complémentaires nécessaires à la réalisation du génie civil sur site</t>
  </si>
  <si>
    <t>Forfait</t>
  </si>
  <si>
    <t>Fourreaux</t>
  </si>
  <si>
    <t>UO4.7</t>
  </si>
  <si>
    <t>Fourniture et pose de fourreaux  ø 90 mm</t>
  </si>
  <si>
    <t>Réfection enrobé</t>
  </si>
  <si>
    <t>UO4.8</t>
  </si>
  <si>
    <t xml:space="preserve">Réfection enrobé </t>
  </si>
  <si>
    <t>m²</t>
  </si>
  <si>
    <t>UO4.9</t>
  </si>
  <si>
    <t>Carottage batiment int / ext avec reprise étanchéité</t>
  </si>
  <si>
    <t>UO4.10</t>
  </si>
  <si>
    <t>Percement et rebouchage du bâtiment</t>
  </si>
  <si>
    <t>UO4.11</t>
  </si>
  <si>
    <t>Percage d'un mur béton épaisseur 15 à 25 cm avec reprise étancheité</t>
  </si>
  <si>
    <t>Câblages des bornes</t>
  </si>
  <si>
    <t>UO5.1</t>
  </si>
  <si>
    <t>Fourniture et pose U1000-R2V 3G10 mm² avec accessoires de raccordement</t>
  </si>
  <si>
    <t>UO5.2</t>
  </si>
  <si>
    <t>Fourniture et pose U1000-R2V 3G16 mm² avec accessoires de raccordement</t>
  </si>
  <si>
    <t>UO5.3</t>
  </si>
  <si>
    <t>Fourniture et pose U1000-R2V 5G10 mm² avec accessoires de raccordement</t>
  </si>
  <si>
    <t>UO5.4</t>
  </si>
  <si>
    <t>Fourniture et pose U1000-R2V 5G16 mm² avec accessoires de raccordement</t>
  </si>
  <si>
    <t>UO5.5</t>
  </si>
  <si>
    <t>Fourniture et pose U1000-R2V 5G25mm²</t>
  </si>
  <si>
    <t>UO5.6</t>
  </si>
  <si>
    <t>Fourniture et pose cosses 25² cosses</t>
  </si>
  <si>
    <t>Forfait par cable</t>
  </si>
  <si>
    <t>UO5.7</t>
  </si>
  <si>
    <t>Fourniture et pose U1000-R2V 5G70 mm²</t>
  </si>
  <si>
    <t>UO5.8</t>
  </si>
  <si>
    <t>Fourniture et pose cosses 70² cosses</t>
  </si>
  <si>
    <t>UO5.9</t>
  </si>
  <si>
    <t>Fourniture et pose d'un répartiteur 4P 60A</t>
  </si>
  <si>
    <t>UO5.10</t>
  </si>
  <si>
    <t>Fourniture et pose d'un répartiteur 4P 125A</t>
  </si>
  <si>
    <t>UO5.11</t>
  </si>
  <si>
    <t>Fourniture et pose d'un répartiteur 4P 250A</t>
  </si>
  <si>
    <t>Câblages d'un boitier de contrôle/modem Courant fort</t>
  </si>
  <si>
    <t>UO5.12</t>
  </si>
  <si>
    <t>Fourniture et pose U1000-R2V 3G1.5mm²</t>
  </si>
  <si>
    <t>UO5.13</t>
  </si>
  <si>
    <t>Fourniture et pose U1000-R2V 3G2.5mm²</t>
  </si>
  <si>
    <t>Câblages d'un boitier de contrôle/modemCourant faible</t>
  </si>
  <si>
    <t>UO5.14</t>
  </si>
  <si>
    <t>Fourniture et pose câble réseau Catégorie 6 F/UTP 4P</t>
  </si>
  <si>
    <t>UO5.15</t>
  </si>
  <si>
    <t xml:space="preserve">Fourniture et pose SWITCH 16 10/100/1000 RACKABLE yc PC alimentation </t>
  </si>
  <si>
    <t>Câblage du TGBT client au Tableau Divisionnaire</t>
  </si>
  <si>
    <t>UO5.16</t>
  </si>
  <si>
    <t>Fourniture et pose U1000-AR2V en 4*50mm² avec accessoires de raccordement</t>
  </si>
  <si>
    <t>UO5.17</t>
  </si>
  <si>
    <t>Fourniture et pose U1000-AR2V en 4*95mm² avec accessoires de raccordement</t>
  </si>
  <si>
    <t>Chemin de câbles</t>
  </si>
  <si>
    <t>UO5.18</t>
  </si>
  <si>
    <t>Fourniture et pose chemin de câble</t>
  </si>
  <si>
    <t>Tube IRL</t>
  </si>
  <si>
    <t>UO5.19</t>
  </si>
  <si>
    <t>Fourniture et pose tube IRL diam 32  yc accessoires de raccordement</t>
  </si>
  <si>
    <t>Goulottes</t>
  </si>
  <si>
    <t>UO5.20</t>
  </si>
  <si>
    <t>Fourniture et pose de goulottes 90x90</t>
  </si>
  <si>
    <t>UO5.21</t>
  </si>
  <si>
    <t xml:space="preserve">Percement passage des câbles dans cloison avec reprise plâtre </t>
  </si>
  <si>
    <t>Fourniture et pose tube IRL diam 50  yc accessoires de raccordement</t>
  </si>
  <si>
    <t>Installation équipements</t>
  </si>
  <si>
    <t>Raccordement électrique</t>
  </si>
  <si>
    <t>UO6.1</t>
  </si>
  <si>
    <t>Fourniture et pose d'un disjoncteur de tête dans le TGBT</t>
  </si>
  <si>
    <t xml:space="preserve">Fourniture et pose d'un coffret de répartition ou d'un tableau divisionnaire </t>
  </si>
  <si>
    <t xml:space="preserve">Tous éléments complémentaires nécessaires à la réalisation du raccordement électrique : fourniture et pose des câbles d'alimentation et de commande; des tubes de protection,... </t>
  </si>
  <si>
    <t>Forfait par tableau</t>
  </si>
  <si>
    <t>Fourniture et pose d'une protection électrique pour le tableautin</t>
  </si>
  <si>
    <t>Fourniture et pose d'une protection électrique 60A 4P4d</t>
  </si>
  <si>
    <t>Fourniture et pose d'une protection électrique 125A 4P4d</t>
  </si>
  <si>
    <t xml:space="preserve">Fourniture et pose d'une protection électrique 250A 4P4d </t>
  </si>
  <si>
    <t>Pose d'équipements</t>
  </si>
  <si>
    <t>Protection des bornes</t>
  </si>
  <si>
    <t xml:space="preserve">Fourniture et pose de protections electriques par borne 7 kVA </t>
  </si>
  <si>
    <t>Fourniture et pose de protections electriques par borne 22 kVA</t>
  </si>
  <si>
    <t>Protection boitier de contrôle/modem</t>
  </si>
  <si>
    <t>Founiture et pose de la protection électrique 2P2d 10A Courbe C  - différentiel 30mA</t>
  </si>
  <si>
    <t>Protection foudre</t>
  </si>
  <si>
    <t>Fourniture et pose d'un parafoudre Type 2</t>
  </si>
  <si>
    <t xml:space="preserve">Fourniture et pose d'un parafoudre Type 1 </t>
  </si>
  <si>
    <t>Founiture et pose d'un Cuivre nu 16mm²  yc accessoires de raccordement</t>
  </si>
  <si>
    <t>Founiture et pose d'un Cuivre nu 25mm²  yc accessoires de raccordement</t>
  </si>
  <si>
    <t>Fourniture et pose d'une gaine 45 pour courant faible</t>
  </si>
  <si>
    <t>Mise en œuvre dépose / repose faux plafond</t>
  </si>
  <si>
    <t>Fourniture et pose d'un bouton d'arret d'urgence + bobine MX</t>
  </si>
  <si>
    <t>Fourniture et pose d'un bouton d'arret d'urgence</t>
  </si>
  <si>
    <t xml:space="preserve">Fourniture et pose trappe de visite </t>
  </si>
  <si>
    <t>Fourniture et pose d'une L1T</t>
  </si>
  <si>
    <t>Recettage et mise en service des bornes et de la supervision</t>
  </si>
  <si>
    <t>Mise en service</t>
  </si>
  <si>
    <t>UO7.1</t>
  </si>
  <si>
    <t>Mise sous tension de la borne, paramétrage de la borne et de la supervision et essais de fonctionnement. Présence lors de la visite de contrôle. Réception matérielle du site. Fourniture du DOE</t>
  </si>
  <si>
    <t>Forfait par borne</t>
  </si>
  <si>
    <t>Maintenance</t>
  </si>
  <si>
    <t>Maintenance préventive</t>
  </si>
  <si>
    <t>UO8.1</t>
  </si>
  <si>
    <t>Maintenance préventive initiale du premier point de charge d'un site</t>
  </si>
  <si>
    <t>Forfait annuel</t>
  </si>
  <si>
    <t>UO8.2</t>
  </si>
  <si>
    <t>Maintenance préventive initiale à partir du deuxième point de charge d'un site</t>
  </si>
  <si>
    <t>Maintenance préventive pour une borne reprise (du premier point de charge d'un site)</t>
  </si>
  <si>
    <t>Maintenance préventive pour une borne reprise à partir du deuxième point de charge d'un site</t>
  </si>
  <si>
    <t>Déplacement</t>
  </si>
  <si>
    <t>Forfait déplacement</t>
  </si>
  <si>
    <t>Services</t>
  </si>
  <si>
    <t>Paramétrage</t>
  </si>
  <si>
    <t>UO9.1</t>
  </si>
  <si>
    <t>Paramétrage de l'environnement France Travail</t>
  </si>
  <si>
    <t>Indice A</t>
  </si>
  <si>
    <t>Forfait par point de charge</t>
  </si>
  <si>
    <t>Abonnement annuel</t>
  </si>
  <si>
    <t>UO9.2</t>
  </si>
  <si>
    <t xml:space="preserve">Supervision des bornes </t>
  </si>
  <si>
    <t>indice A</t>
  </si>
  <si>
    <t>Forfait annuel par point de charge</t>
  </si>
  <si>
    <t>Reprise des bornes</t>
  </si>
  <si>
    <t>Diagnostic et audit</t>
  </si>
  <si>
    <t>UO10.1</t>
  </si>
  <si>
    <t>Audit technique et état des lieux du parc de bornes existant (par site); vérification et rapport si non-conformité</t>
  </si>
  <si>
    <t>Forfait par site</t>
  </si>
  <si>
    <t>Dépose borne</t>
  </si>
  <si>
    <t>UO10.2</t>
  </si>
  <si>
    <t>Dépose d'une borne existante yc déconnexion électrique et mise en sécurité</t>
  </si>
  <si>
    <t>Monétisation de la recharge</t>
  </si>
  <si>
    <t>Plateforme logicielle</t>
  </si>
  <si>
    <t>Mise en place et paramétrage des tarifs de recharge</t>
  </si>
  <si>
    <t>Forfait global initial</t>
  </si>
  <si>
    <t>Comptage et facturation</t>
  </si>
  <si>
    <t>Frais de gestion sur les transactions - % sur montant collecté</t>
  </si>
  <si>
    <t>Forfait en Pourcentage sur montant collecté</t>
  </si>
  <si>
    <t>Remise sur autres pièces</t>
  </si>
  <si>
    <t>Autres articles</t>
  </si>
  <si>
    <t>Coefficient de revente sur prix catalogue (en %)</t>
  </si>
  <si>
    <t>Pour mémoire les prix unitaires comprennent les prestations suivantes</t>
  </si>
  <si>
    <t>Le nettoyage de fin de chantier</t>
  </si>
  <si>
    <t>la fourniture des notices, PV DOE, et autres documentations</t>
  </si>
  <si>
    <t>Légende</t>
  </si>
  <si>
    <t>Détail indice</t>
  </si>
  <si>
    <t>Source</t>
  </si>
  <si>
    <t>Syntec</t>
  </si>
  <si>
    <t>CPF2611</t>
  </si>
  <si>
    <t>INSEE</t>
  </si>
  <si>
    <t>BT47</t>
  </si>
  <si>
    <t>UO1.1</t>
  </si>
  <si>
    <t>UO1.2</t>
  </si>
  <si>
    <t>UO1.3</t>
  </si>
  <si>
    <t>UO1.4</t>
  </si>
  <si>
    <t>UO1.5</t>
  </si>
  <si>
    <t>UO1.6</t>
  </si>
  <si>
    <t>UO1.7</t>
  </si>
  <si>
    <t>UO1.8</t>
  </si>
  <si>
    <t>UO1.9</t>
  </si>
  <si>
    <t>UO1.10</t>
  </si>
  <si>
    <t>UO1.11</t>
  </si>
  <si>
    <t>UO1.12</t>
  </si>
  <si>
    <t>UO1.13</t>
  </si>
  <si>
    <t>UO1.14</t>
  </si>
  <si>
    <t>UO1.15</t>
  </si>
  <si>
    <t>UO3.5</t>
  </si>
  <si>
    <t>UO3.6</t>
  </si>
  <si>
    <t>UO3.7</t>
  </si>
  <si>
    <t>UO3.8</t>
  </si>
  <si>
    <t>UO3.9</t>
  </si>
  <si>
    <t>UO3.10</t>
  </si>
  <si>
    <t>UO3.11</t>
  </si>
  <si>
    <t>UO4.12</t>
  </si>
  <si>
    <t>UO4.13</t>
  </si>
  <si>
    <t>UO4.14</t>
  </si>
  <si>
    <t>UO4.15</t>
  </si>
  <si>
    <t>UO4.16</t>
  </si>
  <si>
    <t>UO4.17</t>
  </si>
  <si>
    <t>UO4.18</t>
  </si>
  <si>
    <t>UO4.19</t>
  </si>
  <si>
    <t>UO4.20</t>
  </si>
  <si>
    <t>UO4.21</t>
  </si>
  <si>
    <t>UO4.22</t>
  </si>
  <si>
    <t>UO7.2</t>
  </si>
  <si>
    <t>UO7.3</t>
  </si>
  <si>
    <t>UO7.4</t>
  </si>
  <si>
    <t>UO7.5</t>
  </si>
  <si>
    <r>
      <t xml:space="preserve"> 010.26
Marché Bornes électriques</t>
    </r>
    <r>
      <rPr>
        <b/>
        <sz val="12"/>
        <color indexed="13"/>
        <rFont val="Arial"/>
        <family val="2"/>
      </rPr>
      <t xml:space="preserve">
</t>
    </r>
    <r>
      <rPr>
        <b/>
        <sz val="12"/>
        <color indexed="9"/>
        <rFont val="Arial"/>
        <family val="2"/>
      </rPr>
      <t xml:space="preserve">
BORDEREAU DES PRIX </t>
    </r>
  </si>
  <si>
    <t>La sécurité sur chantier</t>
  </si>
  <si>
    <t>Pose et fixation de la borne murale simple ou double AC 7 ou 22 KW  - Hors fourniture matériel</t>
  </si>
  <si>
    <t xml:space="preserve">Pose et fixation de la pose borne simple ou double sur pied AC 7 ou 22 KW sur dalle existante  - Hors fourniture matériel et massif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</si>
</sst>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_€"/>
    <numFmt numFmtId="165" formatCode="0.0%"/>
    <numFmt numFmtId="166" formatCode="#,##0\ _€"/>
    <numFmt numFmtId="167" formatCode="#,##0.00\ &quot;€&quot;"/>
  </numFmts>
  <fonts count="15" x14ac:knownFonts="1">
    <font>
      <sz val="11"/>
      <color theme="1"/>
      <name val="Aptos Narrow"/>
      <family val="2"/>
      <scheme val="minor"/>
    </font>
    <font>
      <sz val="11"/>
      <color theme="1"/>
      <name val="Aptos Narrow"/>
      <family val="2"/>
      <scheme val="minor"/>
    </font>
    <font>
      <sz val="11"/>
      <color indexed="8"/>
      <name val="Calibri"/>
      <family val="2"/>
    </font>
    <font>
      <b/>
      <sz val="12"/>
      <color indexed="9"/>
      <name val="Arial"/>
      <family val="2"/>
    </font>
    <font>
      <b/>
      <sz val="12"/>
      <color indexed="13"/>
      <name val="Arial"/>
      <family val="2"/>
    </font>
    <font>
      <b/>
      <sz val="12"/>
      <color indexed="8"/>
      <name val="Arial"/>
      <family val="2"/>
    </font>
    <font>
      <sz val="10"/>
      <color indexed="8"/>
      <name val="Arial"/>
      <family val="2"/>
    </font>
    <font>
      <sz val="10"/>
      <name val="Arial"/>
      <family val="2"/>
    </font>
    <font>
      <sz val="11"/>
      <color indexed="8"/>
      <name val="Arial"/>
      <family val="2"/>
    </font>
    <font>
      <b/>
      <sz val="10"/>
      <color indexed="8"/>
      <name val="Arial"/>
      <family val="2"/>
    </font>
    <font>
      <b/>
      <sz val="10"/>
      <name val="Arial"/>
      <family val="2"/>
    </font>
    <font>
      <sz val="10"/>
      <color rgb="FF000000"/>
      <name val="Arial"/>
      <family val="2"/>
    </font>
    <font>
      <sz val="11"/>
      <color rgb="FF000000"/>
      <name val="Arial"/>
      <family val="2"/>
    </font>
    <font>
      <sz val="11"/>
      <color theme="1"/>
      <name val="Arial"/>
      <family val="2"/>
    </font>
    <font>
      <sz val="8"/>
      <name val="Aptos Narrow"/>
      <family val="2"/>
      <scheme val="minor"/>
    </font>
  </fonts>
  <fills count="9">
    <fill>
      <patternFill patternType="none"/>
    </fill>
    <fill>
      <patternFill patternType="gray125"/>
    </fill>
    <fill>
      <patternFill patternType="solid">
        <fgColor indexed="62"/>
        <bgColor indexed="64"/>
      </patternFill>
    </fill>
    <fill>
      <patternFill patternType="solid">
        <fgColor indexed="41"/>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CFFFF"/>
        <bgColor indexed="64"/>
      </patternFill>
    </fill>
    <fill>
      <patternFill patternType="solid">
        <fgColor theme="0" tint="-0.249977111117893"/>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6">
    <xf numFmtId="0" fontId="0" fillId="0" borderId="0"/>
    <xf numFmtId="0" fontId="2" fillId="0" borderId="0"/>
    <xf numFmtId="0" fontId="2" fillId="0" borderId="0"/>
    <xf numFmtId="0" fontId="1" fillId="0" borderId="0"/>
    <xf numFmtId="0" fontId="13" fillId="0" borderId="0"/>
    <xf numFmtId="9" fontId="1" fillId="0" borderId="0" applyFont="0" applyFill="0" applyBorder="0" applyAlignment="0" applyProtection="0"/>
  </cellStyleXfs>
  <cellXfs count="68">
    <xf numFmtId="0" fontId="0" fillId="0" borderId="0" xfId="0"/>
    <xf numFmtId="0" fontId="3" fillId="0" borderId="0" xfId="1" applyFont="1" applyAlignment="1">
      <alignment horizontal="left" vertical="center" wrapText="1"/>
    </xf>
    <xf numFmtId="0" fontId="2" fillId="0" borderId="0" xfId="1" applyAlignment="1">
      <alignment vertical="center"/>
    </xf>
    <xf numFmtId="0" fontId="3" fillId="0" borderId="0" xfId="1" applyFont="1" applyAlignment="1">
      <alignment horizontal="center" vertical="center" wrapText="1"/>
    </xf>
    <xf numFmtId="0" fontId="5" fillId="0" borderId="0" xfId="1" applyFont="1" applyAlignment="1">
      <alignment horizontal="center" vertical="center"/>
    </xf>
    <xf numFmtId="0" fontId="8" fillId="0" borderId="0" xfId="2" applyFont="1" applyAlignment="1">
      <alignment horizontal="left" vertical="center"/>
    </xf>
    <xf numFmtId="164" fontId="0" fillId="0" borderId="0" xfId="0" applyNumberFormat="1" applyAlignment="1">
      <alignment horizontal="left" vertical="center"/>
    </xf>
    <xf numFmtId="164" fontId="2" fillId="4" borderId="0" xfId="2" applyNumberFormat="1" applyFill="1" applyAlignment="1">
      <alignment horizontal="center" vertical="center"/>
    </xf>
    <xf numFmtId="0" fontId="2" fillId="0" borderId="0" xfId="1" applyAlignment="1">
      <alignment horizontal="center" vertical="center"/>
    </xf>
    <xf numFmtId="165" fontId="6" fillId="3" borderId="7" xfId="2" applyNumberFormat="1" applyFont="1" applyFill="1" applyBorder="1" applyAlignment="1">
      <alignment horizontal="center" vertical="center"/>
    </xf>
    <xf numFmtId="164" fontId="0" fillId="4" borderId="0" xfId="0" applyNumberFormat="1" applyFill="1" applyAlignment="1">
      <alignment vertical="center"/>
    </xf>
    <xf numFmtId="0" fontId="2" fillId="0" borderId="0" xfId="2" applyAlignment="1">
      <alignment vertical="center"/>
    </xf>
    <xf numFmtId="164" fontId="2" fillId="0" borderId="0" xfId="2" applyNumberFormat="1" applyAlignment="1">
      <alignment vertical="center"/>
    </xf>
    <xf numFmtId="164" fontId="2" fillId="4" borderId="0" xfId="2" applyNumberFormat="1" applyFill="1" applyAlignment="1">
      <alignment vertical="center"/>
    </xf>
    <xf numFmtId="0" fontId="2" fillId="0" borderId="0" xfId="1" applyAlignment="1">
      <alignment horizontal="left" vertical="center"/>
    </xf>
    <xf numFmtId="0" fontId="0" fillId="0" borderId="0" xfId="0" applyAlignment="1">
      <alignment vertical="center"/>
    </xf>
    <xf numFmtId="0" fontId="10" fillId="0" borderId="0" xfId="0" applyFont="1" applyAlignment="1">
      <alignment horizontal="center" vertical="center" wrapText="1"/>
    </xf>
    <xf numFmtId="0" fontId="0" fillId="0" borderId="0" xfId="0" applyAlignment="1">
      <alignment horizontal="right" vertical="center"/>
    </xf>
    <xf numFmtId="0" fontId="7" fillId="0" borderId="0" xfId="0" applyFont="1" applyAlignment="1">
      <alignment vertical="center"/>
    </xf>
    <xf numFmtId="0" fontId="0" fillId="0" borderId="0" xfId="0" applyAlignment="1">
      <alignment horizontal="center" vertical="center"/>
    </xf>
    <xf numFmtId="166" fontId="0" fillId="0" borderId="0" xfId="0" applyNumberFormat="1" applyAlignment="1">
      <alignment horizontal="center" vertical="center"/>
    </xf>
    <xf numFmtId="0" fontId="10" fillId="0" borderId="7" xfId="0" applyFont="1" applyBorder="1" applyAlignment="1">
      <alignment horizontal="center" vertical="center"/>
    </xf>
    <xf numFmtId="0" fontId="10" fillId="0" borderId="7" xfId="0" applyFont="1" applyBorder="1" applyAlignment="1">
      <alignment horizontal="center" vertical="center" wrapText="1"/>
    </xf>
    <xf numFmtId="0" fontId="10" fillId="0" borderId="4" xfId="0" applyFont="1" applyBorder="1" applyAlignment="1">
      <alignment horizontal="center" vertical="center" wrapText="1"/>
    </xf>
    <xf numFmtId="0" fontId="9" fillId="0" borderId="8" xfId="1" applyFont="1" applyBorder="1" applyAlignment="1">
      <alignment horizontal="center" vertical="center" wrapText="1"/>
    </xf>
    <xf numFmtId="0" fontId="6" fillId="0" borderId="7" xfId="0" applyFont="1" applyBorder="1" applyAlignment="1">
      <alignment vertical="center" wrapText="1"/>
    </xf>
    <xf numFmtId="0" fontId="10" fillId="0" borderId="0" xfId="0" applyFont="1" applyAlignment="1">
      <alignment vertical="center"/>
    </xf>
    <xf numFmtId="0" fontId="0" fillId="0" borderId="7" xfId="0" applyBorder="1" applyAlignment="1">
      <alignment vertical="center"/>
    </xf>
    <xf numFmtId="0" fontId="11" fillId="6" borderId="7" xfId="0" applyFont="1" applyFill="1" applyBorder="1" applyAlignment="1">
      <alignment vertical="center"/>
    </xf>
    <xf numFmtId="0" fontId="11" fillId="6" borderId="7" xfId="0" applyFont="1" applyFill="1" applyBorder="1" applyAlignment="1">
      <alignment horizontal="center" vertical="center"/>
    </xf>
    <xf numFmtId="0" fontId="11" fillId="6" borderId="4" xfId="0" applyFont="1" applyFill="1" applyBorder="1" applyAlignment="1">
      <alignment horizontal="center" vertical="center"/>
    </xf>
    <xf numFmtId="0" fontId="11" fillId="6" borderId="7" xfId="0" applyFont="1" applyFill="1" applyBorder="1" applyAlignment="1">
      <alignment vertical="center" wrapText="1"/>
    </xf>
    <xf numFmtId="0" fontId="11" fillId="6" borderId="7" xfId="0" applyFont="1" applyFill="1" applyBorder="1" applyAlignment="1">
      <alignment horizontal="center" vertical="center" wrapText="1"/>
    </xf>
    <xf numFmtId="3" fontId="12" fillId="6" borderId="9" xfId="0" applyNumberFormat="1" applyFont="1" applyFill="1" applyBorder="1" applyAlignment="1">
      <alignment horizontal="right" vertical="center" wrapText="1"/>
    </xf>
    <xf numFmtId="167" fontId="12" fillId="7" borderId="7" xfId="0" applyNumberFormat="1" applyFont="1" applyFill="1" applyBorder="1" applyAlignment="1">
      <alignment horizontal="right" vertical="center" wrapText="1"/>
    </xf>
    <xf numFmtId="0" fontId="11" fillId="6" borderId="7" xfId="3" applyFont="1" applyFill="1" applyBorder="1" applyAlignment="1">
      <alignment horizontal="left" vertical="center"/>
    </xf>
    <xf numFmtId="0" fontId="11" fillId="6" borderId="10" xfId="0" applyFont="1" applyFill="1" applyBorder="1" applyAlignment="1">
      <alignment vertical="center" wrapText="1"/>
    </xf>
    <xf numFmtId="0" fontId="11" fillId="6" borderId="7" xfId="0" applyFont="1" applyFill="1" applyBorder="1" applyAlignment="1">
      <alignment horizontal="left" vertical="center"/>
    </xf>
    <xf numFmtId="0" fontId="11" fillId="6" borderId="10" xfId="0" applyFont="1" applyFill="1" applyBorder="1" applyAlignment="1">
      <alignment vertical="center"/>
    </xf>
    <xf numFmtId="0" fontId="11" fillId="6" borderId="10" xfId="0" applyFont="1" applyFill="1" applyBorder="1" applyAlignment="1">
      <alignment horizontal="center" vertical="center"/>
    </xf>
    <xf numFmtId="0" fontId="11" fillId="6" borderId="10" xfId="0" applyFont="1" applyFill="1" applyBorder="1" applyAlignment="1">
      <alignment horizontal="center" vertical="center" wrapText="1"/>
    </xf>
    <xf numFmtId="0" fontId="11" fillId="6" borderId="5" xfId="0" applyFont="1" applyFill="1" applyBorder="1" applyAlignment="1">
      <alignment vertical="center"/>
    </xf>
    <xf numFmtId="0" fontId="11" fillId="6" borderId="5" xfId="0" applyFont="1" applyFill="1" applyBorder="1" applyAlignment="1">
      <alignment horizontal="center" vertical="center"/>
    </xf>
    <xf numFmtId="0" fontId="11" fillId="0" borderId="7" xfId="0" applyFont="1" applyBorder="1" applyAlignment="1">
      <alignment vertical="center"/>
    </xf>
    <xf numFmtId="0" fontId="11" fillId="0" borderId="7" xfId="0" applyFont="1" applyBorder="1" applyAlignment="1">
      <alignment horizontal="center" vertical="center"/>
    </xf>
    <xf numFmtId="0" fontId="11" fillId="0" borderId="7" xfId="0" applyFont="1" applyBorder="1" applyAlignment="1">
      <alignment vertical="center" wrapText="1"/>
    </xf>
    <xf numFmtId="0" fontId="11" fillId="0" borderId="7" xfId="0" applyFont="1" applyBorder="1" applyAlignment="1">
      <alignment horizontal="center" vertical="center" wrapText="1"/>
    </xf>
    <xf numFmtId="3" fontId="12" fillId="0" borderId="9" xfId="0" applyNumberFormat="1" applyFont="1" applyBorder="1" applyAlignment="1">
      <alignment horizontal="right" vertical="center" wrapText="1"/>
    </xf>
    <xf numFmtId="0" fontId="11" fillId="0" borderId="10" xfId="0" applyFont="1" applyBorder="1" applyAlignment="1">
      <alignment vertical="center" wrapText="1"/>
    </xf>
    <xf numFmtId="167" fontId="12" fillId="8" borderId="5" xfId="0" applyNumberFormat="1" applyFont="1" applyFill="1" applyBorder="1" applyAlignment="1">
      <alignment horizontal="right" vertical="center"/>
    </xf>
    <xf numFmtId="167" fontId="12" fillId="0" borderId="7" xfId="0" applyNumberFormat="1" applyFont="1" applyBorder="1" applyAlignment="1">
      <alignment horizontal="right" vertical="center" wrapText="1"/>
    </xf>
    <xf numFmtId="167" fontId="12" fillId="0" borderId="10" xfId="0" applyNumberFormat="1" applyFont="1" applyBorder="1" applyAlignment="1">
      <alignment horizontal="right" vertical="center" wrapText="1"/>
    </xf>
    <xf numFmtId="9" fontId="12" fillId="7" borderId="7" xfId="5" applyFont="1" applyFill="1" applyBorder="1" applyAlignment="1">
      <alignment horizontal="right" vertical="center"/>
    </xf>
    <xf numFmtId="3" fontId="12" fillId="6" borderId="0" xfId="0" applyNumberFormat="1" applyFont="1" applyFill="1" applyAlignment="1">
      <alignment horizontal="right" vertical="center" wrapText="1"/>
    </xf>
    <xf numFmtId="167" fontId="12" fillId="8" borderId="6" xfId="0" applyNumberFormat="1" applyFont="1" applyFill="1" applyBorder="1" applyAlignment="1">
      <alignment horizontal="right" vertical="center"/>
    </xf>
    <xf numFmtId="0" fontId="9" fillId="5" borderId="0" xfId="2" applyFont="1" applyFill="1" applyAlignment="1">
      <alignment horizontal="left" vertical="center" wrapText="1"/>
    </xf>
    <xf numFmtId="0" fontId="3" fillId="2" borderId="1" xfId="1" applyFont="1" applyFill="1" applyBorder="1" applyAlignment="1">
      <alignment horizontal="center" vertical="center" wrapText="1"/>
    </xf>
    <xf numFmtId="0" fontId="3" fillId="2" borderId="2" xfId="1" applyFont="1" applyFill="1" applyBorder="1" applyAlignment="1">
      <alignment horizontal="center" vertical="center" wrapText="1"/>
    </xf>
    <xf numFmtId="0" fontId="6" fillId="0" borderId="0" xfId="2" applyFont="1" applyAlignment="1">
      <alignment horizontal="left" vertical="center" wrapText="1"/>
    </xf>
    <xf numFmtId="0" fontId="6" fillId="0" borderId="3" xfId="2" applyFont="1" applyBorder="1" applyAlignment="1">
      <alignment horizontal="left" vertical="center" wrapText="1"/>
    </xf>
    <xf numFmtId="164" fontId="7" fillId="3" borderId="4" xfId="2" applyNumberFormat="1" applyFont="1" applyFill="1" applyBorder="1" applyAlignment="1">
      <alignment horizontal="center" vertical="center" wrapText="1"/>
    </xf>
    <xf numFmtId="164" fontId="7" fillId="3" borderId="5" xfId="2" applyNumberFormat="1" applyFont="1" applyFill="1" applyBorder="1" applyAlignment="1">
      <alignment horizontal="center" vertical="center" wrapText="1"/>
    </xf>
    <xf numFmtId="164" fontId="7" fillId="3" borderId="6" xfId="2" applyNumberFormat="1" applyFont="1" applyFill="1" applyBorder="1" applyAlignment="1">
      <alignment horizontal="center" vertical="center" wrapText="1"/>
    </xf>
    <xf numFmtId="0" fontId="6" fillId="0" borderId="0" xfId="2" applyFont="1" applyAlignment="1">
      <alignment horizontal="left" vertical="center"/>
    </xf>
    <xf numFmtId="0" fontId="6" fillId="0" borderId="3" xfId="2" applyFont="1" applyBorder="1" applyAlignment="1">
      <alignment horizontal="left" vertical="center"/>
    </xf>
    <xf numFmtId="0" fontId="7" fillId="3" borderId="4" xfId="2" applyFont="1" applyFill="1" applyBorder="1" applyAlignment="1">
      <alignment horizontal="center" vertical="center" wrapText="1"/>
    </xf>
    <xf numFmtId="0" fontId="7" fillId="3" borderId="5" xfId="2" applyFont="1" applyFill="1" applyBorder="1" applyAlignment="1">
      <alignment horizontal="center" vertical="center" wrapText="1"/>
    </xf>
    <xf numFmtId="0" fontId="7" fillId="3" borderId="6" xfId="2" applyFont="1" applyFill="1" applyBorder="1" applyAlignment="1">
      <alignment horizontal="center" vertical="center" wrapText="1"/>
    </xf>
  </cellXfs>
  <cellStyles count="6">
    <cellStyle name="Normal" xfId="0" builtinId="0"/>
    <cellStyle name="Normal 2" xfId="3" xr:uid="{2B68061A-F6C5-4C06-ACC1-D4EE8ABC3677}"/>
    <cellStyle name="Normal 3" xfId="4" xr:uid="{A283F96C-3B6C-467E-8863-29D1D72BC4B1}"/>
    <cellStyle name="Normal_023.10 BP 11072011" xfId="1" xr:uid="{927DE822-CEFF-458B-ACA2-5E890774BC30}"/>
    <cellStyle name="Normal_Feuil1" xfId="2" xr:uid="{3149528B-445D-4D02-AE7A-60F49D1176A1}"/>
    <cellStyle name="Pourcentage"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11444B1-AA10-4C32-BCC0-7C93D18F3A0C}">
  <we:reference id="29673e3c-d826-4f00-92ee-162334a52b1a" version="1.0.0.8" store="EXCatalog" storeType="EXCatalog"/>
  <we:alternateReferences>
    <we:reference id="WA200009404" version="1.0.0.8" store="fr-FR" storeType="OMEX"/>
  </we:alternateReferences>
  <we:properties>
    <we:property name="claude.fileId" value="&quot;2ba113d1-f29c-446f-ac32-a0ab7a3266d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D835C-4587-4006-8ECA-DDC9293003B7}">
  <dimension ref="A1:U112"/>
  <sheetViews>
    <sheetView tabSelected="1" topLeftCell="A66" zoomScaleNormal="100" workbookViewId="0">
      <selection activeCell="D73" sqref="D73"/>
    </sheetView>
  </sheetViews>
  <sheetFormatPr baseColWidth="10" defaultColWidth="11.44140625" defaultRowHeight="14.4" outlineLevelCol="1" x14ac:dyDescent="0.3"/>
  <cols>
    <col min="1" max="1" width="25.6640625" style="15" customWidth="1"/>
    <col min="2" max="2" width="22.5546875" style="15" customWidth="1"/>
    <col min="3" max="3" width="22.6640625" style="15" customWidth="1"/>
    <col min="4" max="4" width="69.6640625" style="15" customWidth="1"/>
    <col min="5" max="5" width="15.44140625" style="15" customWidth="1"/>
    <col min="6" max="6" width="36.5546875" style="15" customWidth="1"/>
    <col min="7" max="7" width="8.5546875" style="15" customWidth="1"/>
    <col min="8" max="9" width="11.44140625" style="15" customWidth="1" outlineLevel="1"/>
    <col min="10" max="256" width="11.44140625" style="15"/>
    <col min="257" max="257" width="25.6640625" style="15" customWidth="1"/>
    <col min="258" max="258" width="22.5546875" style="15" customWidth="1"/>
    <col min="259" max="259" width="22.6640625" style="15" customWidth="1"/>
    <col min="260" max="260" width="48.44140625" style="15" customWidth="1"/>
    <col min="261" max="261" width="15.44140625" style="15" customWidth="1"/>
    <col min="262" max="262" width="16.33203125" style="15" customWidth="1"/>
    <col min="263" max="263" width="1.6640625" style="15" customWidth="1"/>
    <col min="264" max="512" width="11.44140625" style="15"/>
    <col min="513" max="513" width="25.6640625" style="15" customWidth="1"/>
    <col min="514" max="514" width="22.5546875" style="15" customWidth="1"/>
    <col min="515" max="515" width="22.6640625" style="15" customWidth="1"/>
    <col min="516" max="516" width="48.44140625" style="15" customWidth="1"/>
    <col min="517" max="517" width="15.44140625" style="15" customWidth="1"/>
    <col min="518" max="518" width="16.33203125" style="15" customWidth="1"/>
    <col min="519" max="519" width="1.6640625" style="15" customWidth="1"/>
    <col min="520" max="768" width="11.44140625" style="15"/>
    <col min="769" max="769" width="25.6640625" style="15" customWidth="1"/>
    <col min="770" max="770" width="22.5546875" style="15" customWidth="1"/>
    <col min="771" max="771" width="22.6640625" style="15" customWidth="1"/>
    <col min="772" max="772" width="48.44140625" style="15" customWidth="1"/>
    <col min="773" max="773" width="15.44140625" style="15" customWidth="1"/>
    <col min="774" max="774" width="16.33203125" style="15" customWidth="1"/>
    <col min="775" max="775" width="1.6640625" style="15" customWidth="1"/>
    <col min="776" max="1024" width="11.44140625" style="15"/>
    <col min="1025" max="1025" width="25.6640625" style="15" customWidth="1"/>
    <col min="1026" max="1026" width="22.5546875" style="15" customWidth="1"/>
    <col min="1027" max="1027" width="22.6640625" style="15" customWidth="1"/>
    <col min="1028" max="1028" width="48.44140625" style="15" customWidth="1"/>
    <col min="1029" max="1029" width="15.44140625" style="15" customWidth="1"/>
    <col min="1030" max="1030" width="16.33203125" style="15" customWidth="1"/>
    <col min="1031" max="1031" width="1.6640625" style="15" customWidth="1"/>
    <col min="1032" max="1280" width="11.44140625" style="15"/>
    <col min="1281" max="1281" width="25.6640625" style="15" customWidth="1"/>
    <col min="1282" max="1282" width="22.5546875" style="15" customWidth="1"/>
    <col min="1283" max="1283" width="22.6640625" style="15" customWidth="1"/>
    <col min="1284" max="1284" width="48.44140625" style="15" customWidth="1"/>
    <col min="1285" max="1285" width="15.44140625" style="15" customWidth="1"/>
    <col min="1286" max="1286" width="16.33203125" style="15" customWidth="1"/>
    <col min="1287" max="1287" width="1.6640625" style="15" customWidth="1"/>
    <col min="1288" max="1536" width="11.44140625" style="15"/>
    <col min="1537" max="1537" width="25.6640625" style="15" customWidth="1"/>
    <col min="1538" max="1538" width="22.5546875" style="15" customWidth="1"/>
    <col min="1539" max="1539" width="22.6640625" style="15" customWidth="1"/>
    <col min="1540" max="1540" width="48.44140625" style="15" customWidth="1"/>
    <col min="1541" max="1541" width="15.44140625" style="15" customWidth="1"/>
    <col min="1542" max="1542" width="16.33203125" style="15" customWidth="1"/>
    <col min="1543" max="1543" width="1.6640625" style="15" customWidth="1"/>
    <col min="1544" max="1792" width="11.44140625" style="15"/>
    <col min="1793" max="1793" width="25.6640625" style="15" customWidth="1"/>
    <col min="1794" max="1794" width="22.5546875" style="15" customWidth="1"/>
    <col min="1795" max="1795" width="22.6640625" style="15" customWidth="1"/>
    <col min="1796" max="1796" width="48.44140625" style="15" customWidth="1"/>
    <col min="1797" max="1797" width="15.44140625" style="15" customWidth="1"/>
    <col min="1798" max="1798" width="16.33203125" style="15" customWidth="1"/>
    <col min="1799" max="1799" width="1.6640625" style="15" customWidth="1"/>
    <col min="1800" max="2048" width="11.44140625" style="15"/>
    <col min="2049" max="2049" width="25.6640625" style="15" customWidth="1"/>
    <col min="2050" max="2050" width="22.5546875" style="15" customWidth="1"/>
    <col min="2051" max="2051" width="22.6640625" style="15" customWidth="1"/>
    <col min="2052" max="2052" width="48.44140625" style="15" customWidth="1"/>
    <col min="2053" max="2053" width="15.44140625" style="15" customWidth="1"/>
    <col min="2054" max="2054" width="16.33203125" style="15" customWidth="1"/>
    <col min="2055" max="2055" width="1.6640625" style="15" customWidth="1"/>
    <col min="2056" max="2304" width="11.44140625" style="15"/>
    <col min="2305" max="2305" width="25.6640625" style="15" customWidth="1"/>
    <col min="2306" max="2306" width="22.5546875" style="15" customWidth="1"/>
    <col min="2307" max="2307" width="22.6640625" style="15" customWidth="1"/>
    <col min="2308" max="2308" width="48.44140625" style="15" customWidth="1"/>
    <col min="2309" max="2309" width="15.44140625" style="15" customWidth="1"/>
    <col min="2310" max="2310" width="16.33203125" style="15" customWidth="1"/>
    <col min="2311" max="2311" width="1.6640625" style="15" customWidth="1"/>
    <col min="2312" max="2560" width="11.44140625" style="15"/>
    <col min="2561" max="2561" width="25.6640625" style="15" customWidth="1"/>
    <col min="2562" max="2562" width="22.5546875" style="15" customWidth="1"/>
    <col min="2563" max="2563" width="22.6640625" style="15" customWidth="1"/>
    <col min="2564" max="2564" width="48.44140625" style="15" customWidth="1"/>
    <col min="2565" max="2565" width="15.44140625" style="15" customWidth="1"/>
    <col min="2566" max="2566" width="16.33203125" style="15" customWidth="1"/>
    <col min="2567" max="2567" width="1.6640625" style="15" customWidth="1"/>
    <col min="2568" max="2816" width="11.44140625" style="15"/>
    <col min="2817" max="2817" width="25.6640625" style="15" customWidth="1"/>
    <col min="2818" max="2818" width="22.5546875" style="15" customWidth="1"/>
    <col min="2819" max="2819" width="22.6640625" style="15" customWidth="1"/>
    <col min="2820" max="2820" width="48.44140625" style="15" customWidth="1"/>
    <col min="2821" max="2821" width="15.44140625" style="15" customWidth="1"/>
    <col min="2822" max="2822" width="16.33203125" style="15" customWidth="1"/>
    <col min="2823" max="2823" width="1.6640625" style="15" customWidth="1"/>
    <col min="2824" max="3072" width="11.44140625" style="15"/>
    <col min="3073" max="3073" width="25.6640625" style="15" customWidth="1"/>
    <col min="3074" max="3074" width="22.5546875" style="15" customWidth="1"/>
    <col min="3075" max="3075" width="22.6640625" style="15" customWidth="1"/>
    <col min="3076" max="3076" width="48.44140625" style="15" customWidth="1"/>
    <col min="3077" max="3077" width="15.44140625" style="15" customWidth="1"/>
    <col min="3078" max="3078" width="16.33203125" style="15" customWidth="1"/>
    <col min="3079" max="3079" width="1.6640625" style="15" customWidth="1"/>
    <col min="3080" max="3328" width="11.44140625" style="15"/>
    <col min="3329" max="3329" width="25.6640625" style="15" customWidth="1"/>
    <col min="3330" max="3330" width="22.5546875" style="15" customWidth="1"/>
    <col min="3331" max="3331" width="22.6640625" style="15" customWidth="1"/>
    <col min="3332" max="3332" width="48.44140625" style="15" customWidth="1"/>
    <col min="3333" max="3333" width="15.44140625" style="15" customWidth="1"/>
    <col min="3334" max="3334" width="16.33203125" style="15" customWidth="1"/>
    <col min="3335" max="3335" width="1.6640625" style="15" customWidth="1"/>
    <col min="3336" max="3584" width="11.44140625" style="15"/>
    <col min="3585" max="3585" width="25.6640625" style="15" customWidth="1"/>
    <col min="3586" max="3586" width="22.5546875" style="15" customWidth="1"/>
    <col min="3587" max="3587" width="22.6640625" style="15" customWidth="1"/>
    <col min="3588" max="3588" width="48.44140625" style="15" customWidth="1"/>
    <col min="3589" max="3589" width="15.44140625" style="15" customWidth="1"/>
    <col min="3590" max="3590" width="16.33203125" style="15" customWidth="1"/>
    <col min="3591" max="3591" width="1.6640625" style="15" customWidth="1"/>
    <col min="3592" max="3840" width="11.44140625" style="15"/>
    <col min="3841" max="3841" width="25.6640625" style="15" customWidth="1"/>
    <col min="3842" max="3842" width="22.5546875" style="15" customWidth="1"/>
    <col min="3843" max="3843" width="22.6640625" style="15" customWidth="1"/>
    <col min="3844" max="3844" width="48.44140625" style="15" customWidth="1"/>
    <col min="3845" max="3845" width="15.44140625" style="15" customWidth="1"/>
    <col min="3846" max="3846" width="16.33203125" style="15" customWidth="1"/>
    <col min="3847" max="3847" width="1.6640625" style="15" customWidth="1"/>
    <col min="3848" max="4096" width="11.44140625" style="15"/>
    <col min="4097" max="4097" width="25.6640625" style="15" customWidth="1"/>
    <col min="4098" max="4098" width="22.5546875" style="15" customWidth="1"/>
    <col min="4099" max="4099" width="22.6640625" style="15" customWidth="1"/>
    <col min="4100" max="4100" width="48.44140625" style="15" customWidth="1"/>
    <col min="4101" max="4101" width="15.44140625" style="15" customWidth="1"/>
    <col min="4102" max="4102" width="16.33203125" style="15" customWidth="1"/>
    <col min="4103" max="4103" width="1.6640625" style="15" customWidth="1"/>
    <col min="4104" max="4352" width="11.44140625" style="15"/>
    <col min="4353" max="4353" width="25.6640625" style="15" customWidth="1"/>
    <col min="4354" max="4354" width="22.5546875" style="15" customWidth="1"/>
    <col min="4355" max="4355" width="22.6640625" style="15" customWidth="1"/>
    <col min="4356" max="4356" width="48.44140625" style="15" customWidth="1"/>
    <col min="4357" max="4357" width="15.44140625" style="15" customWidth="1"/>
    <col min="4358" max="4358" width="16.33203125" style="15" customWidth="1"/>
    <col min="4359" max="4359" width="1.6640625" style="15" customWidth="1"/>
    <col min="4360" max="4608" width="11.44140625" style="15"/>
    <col min="4609" max="4609" width="25.6640625" style="15" customWidth="1"/>
    <col min="4610" max="4610" width="22.5546875" style="15" customWidth="1"/>
    <col min="4611" max="4611" width="22.6640625" style="15" customWidth="1"/>
    <col min="4612" max="4612" width="48.44140625" style="15" customWidth="1"/>
    <col min="4613" max="4613" width="15.44140625" style="15" customWidth="1"/>
    <col min="4614" max="4614" width="16.33203125" style="15" customWidth="1"/>
    <col min="4615" max="4615" width="1.6640625" style="15" customWidth="1"/>
    <col min="4616" max="4864" width="11.44140625" style="15"/>
    <col min="4865" max="4865" width="25.6640625" style="15" customWidth="1"/>
    <col min="4866" max="4866" width="22.5546875" style="15" customWidth="1"/>
    <col min="4867" max="4867" width="22.6640625" style="15" customWidth="1"/>
    <col min="4868" max="4868" width="48.44140625" style="15" customWidth="1"/>
    <col min="4869" max="4869" width="15.44140625" style="15" customWidth="1"/>
    <col min="4870" max="4870" width="16.33203125" style="15" customWidth="1"/>
    <col min="4871" max="4871" width="1.6640625" style="15" customWidth="1"/>
    <col min="4872" max="5120" width="11.44140625" style="15"/>
    <col min="5121" max="5121" width="25.6640625" style="15" customWidth="1"/>
    <col min="5122" max="5122" width="22.5546875" style="15" customWidth="1"/>
    <col min="5123" max="5123" width="22.6640625" style="15" customWidth="1"/>
    <col min="5124" max="5124" width="48.44140625" style="15" customWidth="1"/>
    <col min="5125" max="5125" width="15.44140625" style="15" customWidth="1"/>
    <col min="5126" max="5126" width="16.33203125" style="15" customWidth="1"/>
    <col min="5127" max="5127" width="1.6640625" style="15" customWidth="1"/>
    <col min="5128" max="5376" width="11.44140625" style="15"/>
    <col min="5377" max="5377" width="25.6640625" style="15" customWidth="1"/>
    <col min="5378" max="5378" width="22.5546875" style="15" customWidth="1"/>
    <col min="5379" max="5379" width="22.6640625" style="15" customWidth="1"/>
    <col min="5380" max="5380" width="48.44140625" style="15" customWidth="1"/>
    <col min="5381" max="5381" width="15.44140625" style="15" customWidth="1"/>
    <col min="5382" max="5382" width="16.33203125" style="15" customWidth="1"/>
    <col min="5383" max="5383" width="1.6640625" style="15" customWidth="1"/>
    <col min="5384" max="5632" width="11.44140625" style="15"/>
    <col min="5633" max="5633" width="25.6640625" style="15" customWidth="1"/>
    <col min="5634" max="5634" width="22.5546875" style="15" customWidth="1"/>
    <col min="5635" max="5635" width="22.6640625" style="15" customWidth="1"/>
    <col min="5636" max="5636" width="48.44140625" style="15" customWidth="1"/>
    <col min="5637" max="5637" width="15.44140625" style="15" customWidth="1"/>
    <col min="5638" max="5638" width="16.33203125" style="15" customWidth="1"/>
    <col min="5639" max="5639" width="1.6640625" style="15" customWidth="1"/>
    <col min="5640" max="5888" width="11.44140625" style="15"/>
    <col min="5889" max="5889" width="25.6640625" style="15" customWidth="1"/>
    <col min="5890" max="5890" width="22.5546875" style="15" customWidth="1"/>
    <col min="5891" max="5891" width="22.6640625" style="15" customWidth="1"/>
    <col min="5892" max="5892" width="48.44140625" style="15" customWidth="1"/>
    <col min="5893" max="5893" width="15.44140625" style="15" customWidth="1"/>
    <col min="5894" max="5894" width="16.33203125" style="15" customWidth="1"/>
    <col min="5895" max="5895" width="1.6640625" style="15" customWidth="1"/>
    <col min="5896" max="6144" width="11.44140625" style="15"/>
    <col min="6145" max="6145" width="25.6640625" style="15" customWidth="1"/>
    <col min="6146" max="6146" width="22.5546875" style="15" customWidth="1"/>
    <col min="6147" max="6147" width="22.6640625" style="15" customWidth="1"/>
    <col min="6148" max="6148" width="48.44140625" style="15" customWidth="1"/>
    <col min="6149" max="6149" width="15.44140625" style="15" customWidth="1"/>
    <col min="6150" max="6150" width="16.33203125" style="15" customWidth="1"/>
    <col min="6151" max="6151" width="1.6640625" style="15" customWidth="1"/>
    <col min="6152" max="6400" width="11.44140625" style="15"/>
    <col min="6401" max="6401" width="25.6640625" style="15" customWidth="1"/>
    <col min="6402" max="6402" width="22.5546875" style="15" customWidth="1"/>
    <col min="6403" max="6403" width="22.6640625" style="15" customWidth="1"/>
    <col min="6404" max="6404" width="48.44140625" style="15" customWidth="1"/>
    <col min="6405" max="6405" width="15.44140625" style="15" customWidth="1"/>
    <col min="6406" max="6406" width="16.33203125" style="15" customWidth="1"/>
    <col min="6407" max="6407" width="1.6640625" style="15" customWidth="1"/>
    <col min="6408" max="6656" width="11.44140625" style="15"/>
    <col min="6657" max="6657" width="25.6640625" style="15" customWidth="1"/>
    <col min="6658" max="6658" width="22.5546875" style="15" customWidth="1"/>
    <col min="6659" max="6659" width="22.6640625" style="15" customWidth="1"/>
    <col min="6660" max="6660" width="48.44140625" style="15" customWidth="1"/>
    <col min="6661" max="6661" width="15.44140625" style="15" customWidth="1"/>
    <col min="6662" max="6662" width="16.33203125" style="15" customWidth="1"/>
    <col min="6663" max="6663" width="1.6640625" style="15" customWidth="1"/>
    <col min="6664" max="6912" width="11.44140625" style="15"/>
    <col min="6913" max="6913" width="25.6640625" style="15" customWidth="1"/>
    <col min="6914" max="6914" width="22.5546875" style="15" customWidth="1"/>
    <col min="6915" max="6915" width="22.6640625" style="15" customWidth="1"/>
    <col min="6916" max="6916" width="48.44140625" style="15" customWidth="1"/>
    <col min="6917" max="6917" width="15.44140625" style="15" customWidth="1"/>
    <col min="6918" max="6918" width="16.33203125" style="15" customWidth="1"/>
    <col min="6919" max="6919" width="1.6640625" style="15" customWidth="1"/>
    <col min="6920" max="7168" width="11.44140625" style="15"/>
    <col min="7169" max="7169" width="25.6640625" style="15" customWidth="1"/>
    <col min="7170" max="7170" width="22.5546875" style="15" customWidth="1"/>
    <col min="7171" max="7171" width="22.6640625" style="15" customWidth="1"/>
    <col min="7172" max="7172" width="48.44140625" style="15" customWidth="1"/>
    <col min="7173" max="7173" width="15.44140625" style="15" customWidth="1"/>
    <col min="7174" max="7174" width="16.33203125" style="15" customWidth="1"/>
    <col min="7175" max="7175" width="1.6640625" style="15" customWidth="1"/>
    <col min="7176" max="7424" width="11.44140625" style="15"/>
    <col min="7425" max="7425" width="25.6640625" style="15" customWidth="1"/>
    <col min="7426" max="7426" width="22.5546875" style="15" customWidth="1"/>
    <col min="7427" max="7427" width="22.6640625" style="15" customWidth="1"/>
    <col min="7428" max="7428" width="48.44140625" style="15" customWidth="1"/>
    <col min="7429" max="7429" width="15.44140625" style="15" customWidth="1"/>
    <col min="7430" max="7430" width="16.33203125" style="15" customWidth="1"/>
    <col min="7431" max="7431" width="1.6640625" style="15" customWidth="1"/>
    <col min="7432" max="7680" width="11.44140625" style="15"/>
    <col min="7681" max="7681" width="25.6640625" style="15" customWidth="1"/>
    <col min="7682" max="7682" width="22.5546875" style="15" customWidth="1"/>
    <col min="7683" max="7683" width="22.6640625" style="15" customWidth="1"/>
    <col min="7684" max="7684" width="48.44140625" style="15" customWidth="1"/>
    <col min="7685" max="7685" width="15.44140625" style="15" customWidth="1"/>
    <col min="7686" max="7686" width="16.33203125" style="15" customWidth="1"/>
    <col min="7687" max="7687" width="1.6640625" style="15" customWidth="1"/>
    <col min="7688" max="7936" width="11.44140625" style="15"/>
    <col min="7937" max="7937" width="25.6640625" style="15" customWidth="1"/>
    <col min="7938" max="7938" width="22.5546875" style="15" customWidth="1"/>
    <col min="7939" max="7939" width="22.6640625" style="15" customWidth="1"/>
    <col min="7940" max="7940" width="48.44140625" style="15" customWidth="1"/>
    <col min="7941" max="7941" width="15.44140625" style="15" customWidth="1"/>
    <col min="7942" max="7942" width="16.33203125" style="15" customWidth="1"/>
    <col min="7943" max="7943" width="1.6640625" style="15" customWidth="1"/>
    <col min="7944" max="8192" width="11.44140625" style="15"/>
    <col min="8193" max="8193" width="25.6640625" style="15" customWidth="1"/>
    <col min="8194" max="8194" width="22.5546875" style="15" customWidth="1"/>
    <col min="8195" max="8195" width="22.6640625" style="15" customWidth="1"/>
    <col min="8196" max="8196" width="48.44140625" style="15" customWidth="1"/>
    <col min="8197" max="8197" width="15.44140625" style="15" customWidth="1"/>
    <col min="8198" max="8198" width="16.33203125" style="15" customWidth="1"/>
    <col min="8199" max="8199" width="1.6640625" style="15" customWidth="1"/>
    <col min="8200" max="8448" width="11.44140625" style="15"/>
    <col min="8449" max="8449" width="25.6640625" style="15" customWidth="1"/>
    <col min="8450" max="8450" width="22.5546875" style="15" customWidth="1"/>
    <col min="8451" max="8451" width="22.6640625" style="15" customWidth="1"/>
    <col min="8452" max="8452" width="48.44140625" style="15" customWidth="1"/>
    <col min="8453" max="8453" width="15.44140625" style="15" customWidth="1"/>
    <col min="8454" max="8454" width="16.33203125" style="15" customWidth="1"/>
    <col min="8455" max="8455" width="1.6640625" style="15" customWidth="1"/>
    <col min="8456" max="8704" width="11.44140625" style="15"/>
    <col min="8705" max="8705" width="25.6640625" style="15" customWidth="1"/>
    <col min="8706" max="8706" width="22.5546875" style="15" customWidth="1"/>
    <col min="8707" max="8707" width="22.6640625" style="15" customWidth="1"/>
    <col min="8708" max="8708" width="48.44140625" style="15" customWidth="1"/>
    <col min="8709" max="8709" width="15.44140625" style="15" customWidth="1"/>
    <col min="8710" max="8710" width="16.33203125" style="15" customWidth="1"/>
    <col min="8711" max="8711" width="1.6640625" style="15" customWidth="1"/>
    <col min="8712" max="8960" width="11.44140625" style="15"/>
    <col min="8961" max="8961" width="25.6640625" style="15" customWidth="1"/>
    <col min="8962" max="8962" width="22.5546875" style="15" customWidth="1"/>
    <col min="8963" max="8963" width="22.6640625" style="15" customWidth="1"/>
    <col min="8964" max="8964" width="48.44140625" style="15" customWidth="1"/>
    <col min="8965" max="8965" width="15.44140625" style="15" customWidth="1"/>
    <col min="8966" max="8966" width="16.33203125" style="15" customWidth="1"/>
    <col min="8967" max="8967" width="1.6640625" style="15" customWidth="1"/>
    <col min="8968" max="9216" width="11.44140625" style="15"/>
    <col min="9217" max="9217" width="25.6640625" style="15" customWidth="1"/>
    <col min="9218" max="9218" width="22.5546875" style="15" customWidth="1"/>
    <col min="9219" max="9219" width="22.6640625" style="15" customWidth="1"/>
    <col min="9220" max="9220" width="48.44140625" style="15" customWidth="1"/>
    <col min="9221" max="9221" width="15.44140625" style="15" customWidth="1"/>
    <col min="9222" max="9222" width="16.33203125" style="15" customWidth="1"/>
    <col min="9223" max="9223" width="1.6640625" style="15" customWidth="1"/>
    <col min="9224" max="9472" width="11.44140625" style="15"/>
    <col min="9473" max="9473" width="25.6640625" style="15" customWidth="1"/>
    <col min="9474" max="9474" width="22.5546875" style="15" customWidth="1"/>
    <col min="9475" max="9475" width="22.6640625" style="15" customWidth="1"/>
    <col min="9476" max="9476" width="48.44140625" style="15" customWidth="1"/>
    <col min="9477" max="9477" width="15.44140625" style="15" customWidth="1"/>
    <col min="9478" max="9478" width="16.33203125" style="15" customWidth="1"/>
    <col min="9479" max="9479" width="1.6640625" style="15" customWidth="1"/>
    <col min="9480" max="9728" width="11.44140625" style="15"/>
    <col min="9729" max="9729" width="25.6640625" style="15" customWidth="1"/>
    <col min="9730" max="9730" width="22.5546875" style="15" customWidth="1"/>
    <col min="9731" max="9731" width="22.6640625" style="15" customWidth="1"/>
    <col min="9732" max="9732" width="48.44140625" style="15" customWidth="1"/>
    <col min="9733" max="9733" width="15.44140625" style="15" customWidth="1"/>
    <col min="9734" max="9734" width="16.33203125" style="15" customWidth="1"/>
    <col min="9735" max="9735" width="1.6640625" style="15" customWidth="1"/>
    <col min="9736" max="9984" width="11.44140625" style="15"/>
    <col min="9985" max="9985" width="25.6640625" style="15" customWidth="1"/>
    <col min="9986" max="9986" width="22.5546875" style="15" customWidth="1"/>
    <col min="9987" max="9987" width="22.6640625" style="15" customWidth="1"/>
    <col min="9988" max="9988" width="48.44140625" style="15" customWidth="1"/>
    <col min="9989" max="9989" width="15.44140625" style="15" customWidth="1"/>
    <col min="9990" max="9990" width="16.33203125" style="15" customWidth="1"/>
    <col min="9991" max="9991" width="1.6640625" style="15" customWidth="1"/>
    <col min="9992" max="10240" width="11.44140625" style="15"/>
    <col min="10241" max="10241" width="25.6640625" style="15" customWidth="1"/>
    <col min="10242" max="10242" width="22.5546875" style="15" customWidth="1"/>
    <col min="10243" max="10243" width="22.6640625" style="15" customWidth="1"/>
    <col min="10244" max="10244" width="48.44140625" style="15" customWidth="1"/>
    <col min="10245" max="10245" width="15.44140625" style="15" customWidth="1"/>
    <col min="10246" max="10246" width="16.33203125" style="15" customWidth="1"/>
    <col min="10247" max="10247" width="1.6640625" style="15" customWidth="1"/>
    <col min="10248" max="10496" width="11.44140625" style="15"/>
    <col min="10497" max="10497" width="25.6640625" style="15" customWidth="1"/>
    <col min="10498" max="10498" width="22.5546875" style="15" customWidth="1"/>
    <col min="10499" max="10499" width="22.6640625" style="15" customWidth="1"/>
    <col min="10500" max="10500" width="48.44140625" style="15" customWidth="1"/>
    <col min="10501" max="10501" width="15.44140625" style="15" customWidth="1"/>
    <col min="10502" max="10502" width="16.33203125" style="15" customWidth="1"/>
    <col min="10503" max="10503" width="1.6640625" style="15" customWidth="1"/>
    <col min="10504" max="10752" width="11.44140625" style="15"/>
    <col min="10753" max="10753" width="25.6640625" style="15" customWidth="1"/>
    <col min="10754" max="10754" width="22.5546875" style="15" customWidth="1"/>
    <col min="10755" max="10755" width="22.6640625" style="15" customWidth="1"/>
    <col min="10756" max="10756" width="48.44140625" style="15" customWidth="1"/>
    <col min="10757" max="10757" width="15.44140625" style="15" customWidth="1"/>
    <col min="10758" max="10758" width="16.33203125" style="15" customWidth="1"/>
    <col min="10759" max="10759" width="1.6640625" style="15" customWidth="1"/>
    <col min="10760" max="11008" width="11.44140625" style="15"/>
    <col min="11009" max="11009" width="25.6640625" style="15" customWidth="1"/>
    <col min="11010" max="11010" width="22.5546875" style="15" customWidth="1"/>
    <col min="11011" max="11011" width="22.6640625" style="15" customWidth="1"/>
    <col min="11012" max="11012" width="48.44140625" style="15" customWidth="1"/>
    <col min="11013" max="11013" width="15.44140625" style="15" customWidth="1"/>
    <col min="11014" max="11014" width="16.33203125" style="15" customWidth="1"/>
    <col min="11015" max="11015" width="1.6640625" style="15" customWidth="1"/>
    <col min="11016" max="11264" width="11.44140625" style="15"/>
    <col min="11265" max="11265" width="25.6640625" style="15" customWidth="1"/>
    <col min="11266" max="11266" width="22.5546875" style="15" customWidth="1"/>
    <col min="11267" max="11267" width="22.6640625" style="15" customWidth="1"/>
    <col min="11268" max="11268" width="48.44140625" style="15" customWidth="1"/>
    <col min="11269" max="11269" width="15.44140625" style="15" customWidth="1"/>
    <col min="11270" max="11270" width="16.33203125" style="15" customWidth="1"/>
    <col min="11271" max="11271" width="1.6640625" style="15" customWidth="1"/>
    <col min="11272" max="11520" width="11.44140625" style="15"/>
    <col min="11521" max="11521" width="25.6640625" style="15" customWidth="1"/>
    <col min="11522" max="11522" width="22.5546875" style="15" customWidth="1"/>
    <col min="11523" max="11523" width="22.6640625" style="15" customWidth="1"/>
    <col min="11524" max="11524" width="48.44140625" style="15" customWidth="1"/>
    <col min="11525" max="11525" width="15.44140625" style="15" customWidth="1"/>
    <col min="11526" max="11526" width="16.33203125" style="15" customWidth="1"/>
    <col min="11527" max="11527" width="1.6640625" style="15" customWidth="1"/>
    <col min="11528" max="11776" width="11.44140625" style="15"/>
    <col min="11777" max="11777" width="25.6640625" style="15" customWidth="1"/>
    <col min="11778" max="11778" width="22.5546875" style="15" customWidth="1"/>
    <col min="11779" max="11779" width="22.6640625" style="15" customWidth="1"/>
    <col min="11780" max="11780" width="48.44140625" style="15" customWidth="1"/>
    <col min="11781" max="11781" width="15.44140625" style="15" customWidth="1"/>
    <col min="11782" max="11782" width="16.33203125" style="15" customWidth="1"/>
    <col min="11783" max="11783" width="1.6640625" style="15" customWidth="1"/>
    <col min="11784" max="12032" width="11.44140625" style="15"/>
    <col min="12033" max="12033" width="25.6640625" style="15" customWidth="1"/>
    <col min="12034" max="12034" width="22.5546875" style="15" customWidth="1"/>
    <col min="12035" max="12035" width="22.6640625" style="15" customWidth="1"/>
    <col min="12036" max="12036" width="48.44140625" style="15" customWidth="1"/>
    <col min="12037" max="12037" width="15.44140625" style="15" customWidth="1"/>
    <col min="12038" max="12038" width="16.33203125" style="15" customWidth="1"/>
    <col min="12039" max="12039" width="1.6640625" style="15" customWidth="1"/>
    <col min="12040" max="12288" width="11.44140625" style="15"/>
    <col min="12289" max="12289" width="25.6640625" style="15" customWidth="1"/>
    <col min="12290" max="12290" width="22.5546875" style="15" customWidth="1"/>
    <col min="12291" max="12291" width="22.6640625" style="15" customWidth="1"/>
    <col min="12292" max="12292" width="48.44140625" style="15" customWidth="1"/>
    <col min="12293" max="12293" width="15.44140625" style="15" customWidth="1"/>
    <col min="12294" max="12294" width="16.33203125" style="15" customWidth="1"/>
    <col min="12295" max="12295" width="1.6640625" style="15" customWidth="1"/>
    <col min="12296" max="12544" width="11.44140625" style="15"/>
    <col min="12545" max="12545" width="25.6640625" style="15" customWidth="1"/>
    <col min="12546" max="12546" width="22.5546875" style="15" customWidth="1"/>
    <col min="12547" max="12547" width="22.6640625" style="15" customWidth="1"/>
    <col min="12548" max="12548" width="48.44140625" style="15" customWidth="1"/>
    <col min="12549" max="12549" width="15.44140625" style="15" customWidth="1"/>
    <col min="12550" max="12550" width="16.33203125" style="15" customWidth="1"/>
    <col min="12551" max="12551" width="1.6640625" style="15" customWidth="1"/>
    <col min="12552" max="12800" width="11.44140625" style="15"/>
    <col min="12801" max="12801" width="25.6640625" style="15" customWidth="1"/>
    <col min="12802" max="12802" width="22.5546875" style="15" customWidth="1"/>
    <col min="12803" max="12803" width="22.6640625" style="15" customWidth="1"/>
    <col min="12804" max="12804" width="48.44140625" style="15" customWidth="1"/>
    <col min="12805" max="12805" width="15.44140625" style="15" customWidth="1"/>
    <col min="12806" max="12806" width="16.33203125" style="15" customWidth="1"/>
    <col min="12807" max="12807" width="1.6640625" style="15" customWidth="1"/>
    <col min="12808" max="13056" width="11.44140625" style="15"/>
    <col min="13057" max="13057" width="25.6640625" style="15" customWidth="1"/>
    <col min="13058" max="13058" width="22.5546875" style="15" customWidth="1"/>
    <col min="13059" max="13059" width="22.6640625" style="15" customWidth="1"/>
    <col min="13060" max="13060" width="48.44140625" style="15" customWidth="1"/>
    <col min="13061" max="13061" width="15.44140625" style="15" customWidth="1"/>
    <col min="13062" max="13062" width="16.33203125" style="15" customWidth="1"/>
    <col min="13063" max="13063" width="1.6640625" style="15" customWidth="1"/>
    <col min="13064" max="13312" width="11.44140625" style="15"/>
    <col min="13313" max="13313" width="25.6640625" style="15" customWidth="1"/>
    <col min="13314" max="13314" width="22.5546875" style="15" customWidth="1"/>
    <col min="13315" max="13315" width="22.6640625" style="15" customWidth="1"/>
    <col min="13316" max="13316" width="48.44140625" style="15" customWidth="1"/>
    <col min="13317" max="13317" width="15.44140625" style="15" customWidth="1"/>
    <col min="13318" max="13318" width="16.33203125" style="15" customWidth="1"/>
    <col min="13319" max="13319" width="1.6640625" style="15" customWidth="1"/>
    <col min="13320" max="13568" width="11.44140625" style="15"/>
    <col min="13569" max="13569" width="25.6640625" style="15" customWidth="1"/>
    <col min="13570" max="13570" width="22.5546875" style="15" customWidth="1"/>
    <col min="13571" max="13571" width="22.6640625" style="15" customWidth="1"/>
    <col min="13572" max="13572" width="48.44140625" style="15" customWidth="1"/>
    <col min="13573" max="13573" width="15.44140625" style="15" customWidth="1"/>
    <col min="13574" max="13574" width="16.33203125" style="15" customWidth="1"/>
    <col min="13575" max="13575" width="1.6640625" style="15" customWidth="1"/>
    <col min="13576" max="13824" width="11.44140625" style="15"/>
    <col min="13825" max="13825" width="25.6640625" style="15" customWidth="1"/>
    <col min="13826" max="13826" width="22.5546875" style="15" customWidth="1"/>
    <col min="13827" max="13827" width="22.6640625" style="15" customWidth="1"/>
    <col min="13828" max="13828" width="48.44140625" style="15" customWidth="1"/>
    <col min="13829" max="13829" width="15.44140625" style="15" customWidth="1"/>
    <col min="13830" max="13830" width="16.33203125" style="15" customWidth="1"/>
    <col min="13831" max="13831" width="1.6640625" style="15" customWidth="1"/>
    <col min="13832" max="14080" width="11.44140625" style="15"/>
    <col min="14081" max="14081" width="25.6640625" style="15" customWidth="1"/>
    <col min="14082" max="14082" width="22.5546875" style="15" customWidth="1"/>
    <col min="14083" max="14083" width="22.6640625" style="15" customWidth="1"/>
    <col min="14084" max="14084" width="48.44140625" style="15" customWidth="1"/>
    <col min="14085" max="14085" width="15.44140625" style="15" customWidth="1"/>
    <col min="14086" max="14086" width="16.33203125" style="15" customWidth="1"/>
    <col min="14087" max="14087" width="1.6640625" style="15" customWidth="1"/>
    <col min="14088" max="14336" width="11.44140625" style="15"/>
    <col min="14337" max="14337" width="25.6640625" style="15" customWidth="1"/>
    <col min="14338" max="14338" width="22.5546875" style="15" customWidth="1"/>
    <col min="14339" max="14339" width="22.6640625" style="15" customWidth="1"/>
    <col min="14340" max="14340" width="48.44140625" style="15" customWidth="1"/>
    <col min="14341" max="14341" width="15.44140625" style="15" customWidth="1"/>
    <col min="14342" max="14342" width="16.33203125" style="15" customWidth="1"/>
    <col min="14343" max="14343" width="1.6640625" style="15" customWidth="1"/>
    <col min="14344" max="14592" width="11.44140625" style="15"/>
    <col min="14593" max="14593" width="25.6640625" style="15" customWidth="1"/>
    <col min="14594" max="14594" width="22.5546875" style="15" customWidth="1"/>
    <col min="14595" max="14595" width="22.6640625" style="15" customWidth="1"/>
    <col min="14596" max="14596" width="48.44140625" style="15" customWidth="1"/>
    <col min="14597" max="14597" width="15.44140625" style="15" customWidth="1"/>
    <col min="14598" max="14598" width="16.33203125" style="15" customWidth="1"/>
    <col min="14599" max="14599" width="1.6640625" style="15" customWidth="1"/>
    <col min="14600" max="14848" width="11.44140625" style="15"/>
    <col min="14849" max="14849" width="25.6640625" style="15" customWidth="1"/>
    <col min="14850" max="14850" width="22.5546875" style="15" customWidth="1"/>
    <col min="14851" max="14851" width="22.6640625" style="15" customWidth="1"/>
    <col min="14852" max="14852" width="48.44140625" style="15" customWidth="1"/>
    <col min="14853" max="14853" width="15.44140625" style="15" customWidth="1"/>
    <col min="14854" max="14854" width="16.33203125" style="15" customWidth="1"/>
    <col min="14855" max="14855" width="1.6640625" style="15" customWidth="1"/>
    <col min="14856" max="15104" width="11.44140625" style="15"/>
    <col min="15105" max="15105" width="25.6640625" style="15" customWidth="1"/>
    <col min="15106" max="15106" width="22.5546875" style="15" customWidth="1"/>
    <col min="15107" max="15107" width="22.6640625" style="15" customWidth="1"/>
    <col min="15108" max="15108" width="48.44140625" style="15" customWidth="1"/>
    <col min="15109" max="15109" width="15.44140625" style="15" customWidth="1"/>
    <col min="15110" max="15110" width="16.33203125" style="15" customWidth="1"/>
    <col min="15111" max="15111" width="1.6640625" style="15" customWidth="1"/>
    <col min="15112" max="15360" width="11.44140625" style="15"/>
    <col min="15361" max="15361" width="25.6640625" style="15" customWidth="1"/>
    <col min="15362" max="15362" width="22.5546875" style="15" customWidth="1"/>
    <col min="15363" max="15363" width="22.6640625" style="15" customWidth="1"/>
    <col min="15364" max="15364" width="48.44140625" style="15" customWidth="1"/>
    <col min="15365" max="15365" width="15.44140625" style="15" customWidth="1"/>
    <col min="15366" max="15366" width="16.33203125" style="15" customWidth="1"/>
    <col min="15367" max="15367" width="1.6640625" style="15" customWidth="1"/>
    <col min="15368" max="15616" width="11.44140625" style="15"/>
    <col min="15617" max="15617" width="25.6640625" style="15" customWidth="1"/>
    <col min="15618" max="15618" width="22.5546875" style="15" customWidth="1"/>
    <col min="15619" max="15619" width="22.6640625" style="15" customWidth="1"/>
    <col min="15620" max="15620" width="48.44140625" style="15" customWidth="1"/>
    <col min="15621" max="15621" width="15.44140625" style="15" customWidth="1"/>
    <col min="15622" max="15622" width="16.33203125" style="15" customWidth="1"/>
    <col min="15623" max="15623" width="1.6640625" style="15" customWidth="1"/>
    <col min="15624" max="15872" width="11.44140625" style="15"/>
    <col min="15873" max="15873" width="25.6640625" style="15" customWidth="1"/>
    <col min="15874" max="15874" width="22.5546875" style="15" customWidth="1"/>
    <col min="15875" max="15875" width="22.6640625" style="15" customWidth="1"/>
    <col min="15876" max="15876" width="48.44140625" style="15" customWidth="1"/>
    <col min="15877" max="15877" width="15.44140625" style="15" customWidth="1"/>
    <col min="15878" max="15878" width="16.33203125" style="15" customWidth="1"/>
    <col min="15879" max="15879" width="1.6640625" style="15" customWidth="1"/>
    <col min="15880" max="16128" width="11.44140625" style="15"/>
    <col min="16129" max="16129" width="25.6640625" style="15" customWidth="1"/>
    <col min="16130" max="16130" width="22.5546875" style="15" customWidth="1"/>
    <col min="16131" max="16131" width="22.6640625" style="15" customWidth="1"/>
    <col min="16132" max="16132" width="48.44140625" style="15" customWidth="1"/>
    <col min="16133" max="16133" width="15.44140625" style="15" customWidth="1"/>
    <col min="16134" max="16134" width="16.33203125" style="15" customWidth="1"/>
    <col min="16135" max="16135" width="1.6640625" style="15" customWidth="1"/>
    <col min="16136" max="16384" width="11.44140625" style="15"/>
  </cols>
  <sheetData>
    <row r="1" spans="1:21" s="2" customFormat="1" ht="83.4" customHeight="1" x14ac:dyDescent="0.3">
      <c r="A1" s="56" t="s">
        <v>247</v>
      </c>
      <c r="B1" s="57"/>
      <c r="C1" s="57"/>
      <c r="D1" s="57"/>
      <c r="E1" s="57"/>
      <c r="F1" s="57"/>
      <c r="G1" s="57"/>
      <c r="H1" s="57"/>
      <c r="I1" s="1"/>
    </row>
    <row r="2" spans="1:21" s="2" customFormat="1" ht="15.6" x14ac:dyDescent="0.3">
      <c r="C2" s="3"/>
      <c r="D2" s="3"/>
      <c r="E2" s="3"/>
      <c r="F2" s="3"/>
      <c r="G2" s="3"/>
      <c r="H2" s="3"/>
      <c r="I2" s="3"/>
    </row>
    <row r="3" spans="1:21" s="2" customFormat="1" ht="15.6" x14ac:dyDescent="0.3">
      <c r="G3" s="4"/>
      <c r="H3" s="4"/>
      <c r="I3" s="4"/>
    </row>
    <row r="4" spans="1:21" s="2" customFormat="1" ht="15.6" x14ac:dyDescent="0.3">
      <c r="A4" s="58" t="s">
        <v>0</v>
      </c>
      <c r="B4" s="58"/>
      <c r="C4" s="59"/>
      <c r="D4" s="60"/>
      <c r="E4" s="61"/>
      <c r="F4" s="62"/>
      <c r="G4" s="4"/>
      <c r="H4" s="4"/>
      <c r="I4" s="4"/>
    </row>
    <row r="5" spans="1:21" s="2" customFormat="1" ht="15.6" x14ac:dyDescent="0.3">
      <c r="A5" s="63" t="s">
        <v>1</v>
      </c>
      <c r="B5" s="63"/>
      <c r="C5" s="64"/>
      <c r="D5" s="65"/>
      <c r="E5" s="66"/>
      <c r="F5" s="67"/>
      <c r="G5" s="4"/>
      <c r="H5" s="4"/>
      <c r="I5" s="4"/>
    </row>
    <row r="6" spans="1:21" s="2" customFormat="1" x14ac:dyDescent="0.3">
      <c r="A6" s="5"/>
      <c r="B6" s="5"/>
      <c r="C6" s="5"/>
      <c r="D6" s="6"/>
      <c r="E6" s="6"/>
      <c r="F6" s="7"/>
      <c r="G6" s="8"/>
      <c r="H6" s="8"/>
      <c r="I6" s="8"/>
      <c r="J6" s="8"/>
      <c r="K6" s="8"/>
      <c r="L6" s="8"/>
      <c r="M6" s="8"/>
      <c r="N6" s="8"/>
      <c r="P6" s="8"/>
      <c r="Q6" s="8"/>
      <c r="R6" s="8"/>
      <c r="S6" s="8"/>
      <c r="T6" s="8"/>
    </row>
    <row r="7" spans="1:21" s="2" customFormat="1" x14ac:dyDescent="0.3">
      <c r="A7" s="63" t="s">
        <v>2</v>
      </c>
      <c r="B7" s="63"/>
      <c r="C7" s="64"/>
      <c r="D7" s="9">
        <v>0.2</v>
      </c>
      <c r="E7" s="10" t="s">
        <v>3</v>
      </c>
      <c r="G7" s="8"/>
      <c r="H7" s="8"/>
      <c r="I7" s="8"/>
      <c r="J7" s="8"/>
      <c r="K7" s="8"/>
      <c r="L7" s="8"/>
      <c r="M7" s="8"/>
      <c r="O7" s="8"/>
      <c r="P7" s="8"/>
      <c r="Q7" s="8"/>
      <c r="R7" s="8"/>
      <c r="S7" s="8"/>
    </row>
    <row r="8" spans="1:21" s="2" customFormat="1" x14ac:dyDescent="0.3">
      <c r="A8" s="11"/>
      <c r="B8" s="11"/>
      <c r="C8" s="11"/>
      <c r="D8" s="12"/>
      <c r="E8" s="12"/>
      <c r="F8" s="13"/>
      <c r="G8" s="8"/>
      <c r="H8" s="8"/>
      <c r="I8" s="8"/>
      <c r="K8" s="8"/>
      <c r="L8" s="8"/>
      <c r="M8" s="8"/>
      <c r="N8" s="8"/>
      <c r="O8" s="8"/>
      <c r="Q8" s="8"/>
      <c r="R8" s="8"/>
      <c r="S8" s="8"/>
      <c r="T8" s="8"/>
      <c r="U8" s="8"/>
    </row>
    <row r="9" spans="1:21" s="2" customFormat="1" x14ac:dyDescent="0.3">
      <c r="A9" s="55" t="s">
        <v>4</v>
      </c>
      <c r="B9" s="55"/>
      <c r="C9" s="55"/>
      <c r="D9" s="55"/>
      <c r="E9" s="55"/>
      <c r="F9" s="55"/>
      <c r="G9" s="55"/>
      <c r="H9" s="55"/>
      <c r="I9" s="14"/>
    </row>
    <row r="10" spans="1:21" x14ac:dyDescent="0.3">
      <c r="G10" s="16"/>
    </row>
    <row r="11" spans="1:21" x14ac:dyDescent="0.3">
      <c r="D11" s="17"/>
      <c r="E11" s="17"/>
      <c r="F11" s="17"/>
      <c r="G11" s="18"/>
    </row>
    <row r="12" spans="1:21" x14ac:dyDescent="0.3">
      <c r="G12" s="19"/>
      <c r="H12" s="20"/>
    </row>
    <row r="13" spans="1:21" ht="66" x14ac:dyDescent="0.3">
      <c r="C13" s="21" t="s">
        <v>5</v>
      </c>
      <c r="D13" s="22" t="s">
        <v>6</v>
      </c>
      <c r="E13" s="23" t="s">
        <v>7</v>
      </c>
      <c r="F13" s="23" t="s">
        <v>8</v>
      </c>
      <c r="G13" s="24"/>
      <c r="H13" s="23" t="s">
        <v>9</v>
      </c>
      <c r="I13" s="23" t="s">
        <v>10</v>
      </c>
    </row>
    <row r="14" spans="1:21" x14ac:dyDescent="0.3">
      <c r="A14" s="28" t="s">
        <v>11</v>
      </c>
      <c r="B14" s="29" t="s">
        <v>12</v>
      </c>
      <c r="C14" s="29" t="s">
        <v>210</v>
      </c>
      <c r="D14" s="31" t="s">
        <v>14</v>
      </c>
      <c r="E14" s="31" t="s">
        <v>15</v>
      </c>
      <c r="F14" s="32" t="s">
        <v>16</v>
      </c>
      <c r="G14" s="33"/>
      <c r="H14" s="34"/>
      <c r="I14" s="50">
        <f t="shared" ref="I14:I45" si="0">H14*(1+$D$7)</f>
        <v>0</v>
      </c>
    </row>
    <row r="15" spans="1:21" x14ac:dyDescent="0.3">
      <c r="A15" s="28" t="s">
        <v>11</v>
      </c>
      <c r="B15" s="29" t="s">
        <v>12</v>
      </c>
      <c r="C15" s="29" t="s">
        <v>211</v>
      </c>
      <c r="D15" s="31" t="s">
        <v>18</v>
      </c>
      <c r="E15" s="31" t="s">
        <v>15</v>
      </c>
      <c r="F15" s="32" t="s">
        <v>16</v>
      </c>
      <c r="G15" s="33"/>
      <c r="H15" s="34"/>
      <c r="I15" s="50">
        <f t="shared" si="0"/>
        <v>0</v>
      </c>
    </row>
    <row r="16" spans="1:21" x14ac:dyDescent="0.3">
      <c r="A16" s="28" t="s">
        <v>11</v>
      </c>
      <c r="B16" s="29" t="s">
        <v>12</v>
      </c>
      <c r="C16" s="29" t="s">
        <v>212</v>
      </c>
      <c r="D16" s="31" t="s">
        <v>20</v>
      </c>
      <c r="E16" s="31" t="s">
        <v>15</v>
      </c>
      <c r="F16" s="32" t="s">
        <v>16</v>
      </c>
      <c r="G16" s="33"/>
      <c r="H16" s="34"/>
      <c r="I16" s="50">
        <f t="shared" si="0"/>
        <v>0</v>
      </c>
    </row>
    <row r="17" spans="1:9" x14ac:dyDescent="0.3">
      <c r="A17" s="28" t="s">
        <v>11</v>
      </c>
      <c r="B17" s="29" t="s">
        <v>12</v>
      </c>
      <c r="C17" s="29" t="s">
        <v>213</v>
      </c>
      <c r="D17" s="31" t="s">
        <v>22</v>
      </c>
      <c r="E17" s="31" t="s">
        <v>15</v>
      </c>
      <c r="F17" s="32" t="s">
        <v>16</v>
      </c>
      <c r="G17" s="33"/>
      <c r="H17" s="34"/>
      <c r="I17" s="50">
        <f t="shared" si="0"/>
        <v>0</v>
      </c>
    </row>
    <row r="18" spans="1:9" x14ac:dyDescent="0.3">
      <c r="A18" s="28" t="s">
        <v>11</v>
      </c>
      <c r="B18" s="29" t="s">
        <v>12</v>
      </c>
      <c r="C18" s="29" t="s">
        <v>214</v>
      </c>
      <c r="D18" s="31" t="s">
        <v>23</v>
      </c>
      <c r="E18" s="31" t="s">
        <v>15</v>
      </c>
      <c r="F18" s="32" t="s">
        <v>16</v>
      </c>
      <c r="G18" s="33"/>
      <c r="H18" s="34"/>
      <c r="I18" s="50">
        <f t="shared" si="0"/>
        <v>0</v>
      </c>
    </row>
    <row r="19" spans="1:9" x14ac:dyDescent="0.3">
      <c r="A19" s="28" t="s">
        <v>11</v>
      </c>
      <c r="B19" s="29" t="s">
        <v>12</v>
      </c>
      <c r="C19" s="29" t="s">
        <v>215</v>
      </c>
      <c r="D19" s="31" t="s">
        <v>24</v>
      </c>
      <c r="E19" s="31" t="s">
        <v>15</v>
      </c>
      <c r="F19" s="32" t="s">
        <v>16</v>
      </c>
      <c r="G19" s="33"/>
      <c r="H19" s="34"/>
      <c r="I19" s="50">
        <f t="shared" si="0"/>
        <v>0</v>
      </c>
    </row>
    <row r="20" spans="1:9" x14ac:dyDescent="0.3">
      <c r="A20" s="28" t="s">
        <v>11</v>
      </c>
      <c r="B20" s="29" t="s">
        <v>12</v>
      </c>
      <c r="C20" s="29" t="s">
        <v>216</v>
      </c>
      <c r="D20" s="31" t="s">
        <v>25</v>
      </c>
      <c r="E20" s="31" t="s">
        <v>15</v>
      </c>
      <c r="F20" s="32" t="s">
        <v>16</v>
      </c>
      <c r="G20" s="33"/>
      <c r="H20" s="34"/>
      <c r="I20" s="50">
        <f t="shared" si="0"/>
        <v>0</v>
      </c>
    </row>
    <row r="21" spans="1:9" x14ac:dyDescent="0.3">
      <c r="A21" s="28" t="s">
        <v>11</v>
      </c>
      <c r="B21" s="29" t="s">
        <v>12</v>
      </c>
      <c r="C21" s="29" t="s">
        <v>217</v>
      </c>
      <c r="D21" s="31" t="s">
        <v>26</v>
      </c>
      <c r="E21" s="31" t="s">
        <v>15</v>
      </c>
      <c r="F21" s="32" t="s">
        <v>16</v>
      </c>
      <c r="G21" s="33"/>
      <c r="H21" s="34"/>
      <c r="I21" s="50">
        <f t="shared" si="0"/>
        <v>0</v>
      </c>
    </row>
    <row r="22" spans="1:9" x14ac:dyDescent="0.3">
      <c r="A22" s="28" t="s">
        <v>11</v>
      </c>
      <c r="B22" s="29" t="s">
        <v>12</v>
      </c>
      <c r="C22" s="29" t="s">
        <v>218</v>
      </c>
      <c r="D22" s="31" t="s">
        <v>27</v>
      </c>
      <c r="E22" s="31" t="s">
        <v>15</v>
      </c>
      <c r="F22" s="32" t="s">
        <v>16</v>
      </c>
      <c r="G22" s="33"/>
      <c r="H22" s="34"/>
      <c r="I22" s="50">
        <f t="shared" si="0"/>
        <v>0</v>
      </c>
    </row>
    <row r="23" spans="1:9" x14ac:dyDescent="0.3">
      <c r="A23" s="28" t="s">
        <v>11</v>
      </c>
      <c r="B23" s="29" t="s">
        <v>12</v>
      </c>
      <c r="C23" s="29" t="s">
        <v>219</v>
      </c>
      <c r="D23" s="31" t="s">
        <v>28</v>
      </c>
      <c r="E23" s="31" t="s">
        <v>15</v>
      </c>
      <c r="F23" s="32" t="s">
        <v>16</v>
      </c>
      <c r="G23" s="33"/>
      <c r="H23" s="34"/>
      <c r="I23" s="50">
        <f t="shared" si="0"/>
        <v>0</v>
      </c>
    </row>
    <row r="24" spans="1:9" x14ac:dyDescent="0.3">
      <c r="A24" s="28" t="s">
        <v>11</v>
      </c>
      <c r="B24" s="29" t="s">
        <v>12</v>
      </c>
      <c r="C24" s="29" t="s">
        <v>220</v>
      </c>
      <c r="D24" s="31" t="s">
        <v>29</v>
      </c>
      <c r="E24" s="31" t="s">
        <v>15</v>
      </c>
      <c r="F24" s="32" t="s">
        <v>16</v>
      </c>
      <c r="G24" s="33"/>
      <c r="H24" s="34"/>
      <c r="I24" s="50">
        <f t="shared" si="0"/>
        <v>0</v>
      </c>
    </row>
    <row r="25" spans="1:9" x14ac:dyDescent="0.3">
      <c r="A25" s="28" t="s">
        <v>11</v>
      </c>
      <c r="B25" s="29" t="s">
        <v>12</v>
      </c>
      <c r="C25" s="29" t="s">
        <v>221</v>
      </c>
      <c r="D25" s="31" t="s">
        <v>30</v>
      </c>
      <c r="E25" s="31" t="s">
        <v>15</v>
      </c>
      <c r="F25" s="32" t="s">
        <v>16</v>
      </c>
      <c r="G25" s="33"/>
      <c r="H25" s="34"/>
      <c r="I25" s="50">
        <f t="shared" si="0"/>
        <v>0</v>
      </c>
    </row>
    <row r="26" spans="1:9" x14ac:dyDescent="0.3">
      <c r="A26" s="28" t="s">
        <v>11</v>
      </c>
      <c r="B26" s="29" t="s">
        <v>12</v>
      </c>
      <c r="C26" s="29" t="s">
        <v>222</v>
      </c>
      <c r="D26" s="35" t="s">
        <v>31</v>
      </c>
      <c r="E26" s="31" t="s">
        <v>15</v>
      </c>
      <c r="F26" s="32" t="s">
        <v>32</v>
      </c>
      <c r="G26" s="33"/>
      <c r="H26" s="34"/>
      <c r="I26" s="50">
        <f t="shared" si="0"/>
        <v>0</v>
      </c>
    </row>
    <row r="27" spans="1:9" x14ac:dyDescent="0.3">
      <c r="A27" s="28" t="s">
        <v>11</v>
      </c>
      <c r="B27" s="29" t="s">
        <v>12</v>
      </c>
      <c r="C27" s="29" t="s">
        <v>223</v>
      </c>
      <c r="D27" s="35" t="s">
        <v>33</v>
      </c>
      <c r="E27" s="31" t="s">
        <v>15</v>
      </c>
      <c r="F27" s="32" t="s">
        <v>34</v>
      </c>
      <c r="G27" s="33"/>
      <c r="H27" s="34"/>
      <c r="I27" s="50">
        <f t="shared" si="0"/>
        <v>0</v>
      </c>
    </row>
    <row r="28" spans="1:9" x14ac:dyDescent="0.3">
      <c r="A28" s="28" t="s">
        <v>11</v>
      </c>
      <c r="B28" s="29" t="s">
        <v>12</v>
      </c>
      <c r="C28" s="29" t="s">
        <v>224</v>
      </c>
      <c r="D28" s="35" t="s">
        <v>35</v>
      </c>
      <c r="E28" s="31" t="s">
        <v>15</v>
      </c>
      <c r="F28" s="32" t="s">
        <v>16</v>
      </c>
      <c r="G28" s="33"/>
      <c r="H28" s="34"/>
      <c r="I28" s="50">
        <f t="shared" si="0"/>
        <v>0</v>
      </c>
    </row>
    <row r="29" spans="1:9" x14ac:dyDescent="0.3">
      <c r="A29" s="28" t="s">
        <v>36</v>
      </c>
      <c r="B29" s="29" t="s">
        <v>36</v>
      </c>
      <c r="C29" s="29" t="s">
        <v>13</v>
      </c>
      <c r="D29" s="31" t="s">
        <v>38</v>
      </c>
      <c r="E29" s="31" t="s">
        <v>39</v>
      </c>
      <c r="F29" s="32" t="s">
        <v>16</v>
      </c>
      <c r="G29" s="33"/>
      <c r="H29" s="34"/>
      <c r="I29" s="50">
        <f t="shared" si="0"/>
        <v>0</v>
      </c>
    </row>
    <row r="30" spans="1:9" x14ac:dyDescent="0.3">
      <c r="A30" s="28" t="s">
        <v>36</v>
      </c>
      <c r="B30" s="29" t="s">
        <v>36</v>
      </c>
      <c r="C30" s="29" t="s">
        <v>17</v>
      </c>
      <c r="D30" s="31" t="s">
        <v>41</v>
      </c>
      <c r="E30" s="31" t="s">
        <v>39</v>
      </c>
      <c r="F30" s="32" t="s">
        <v>16</v>
      </c>
      <c r="G30" s="33"/>
      <c r="H30" s="34"/>
      <c r="I30" s="50">
        <f t="shared" si="0"/>
        <v>0</v>
      </c>
    </row>
    <row r="31" spans="1:9" x14ac:dyDescent="0.3">
      <c r="A31" s="28" t="s">
        <v>36</v>
      </c>
      <c r="B31" s="29" t="s">
        <v>36</v>
      </c>
      <c r="C31" s="29" t="s">
        <v>19</v>
      </c>
      <c r="D31" s="31" t="s">
        <v>43</v>
      </c>
      <c r="E31" s="31" t="s">
        <v>39</v>
      </c>
      <c r="F31" s="32" t="s">
        <v>16</v>
      </c>
      <c r="G31" s="33"/>
      <c r="H31" s="34"/>
      <c r="I31" s="50">
        <f t="shared" si="0"/>
        <v>0</v>
      </c>
    </row>
    <row r="32" spans="1:9" x14ac:dyDescent="0.3">
      <c r="A32" s="28" t="s">
        <v>36</v>
      </c>
      <c r="B32" s="29" t="s">
        <v>36</v>
      </c>
      <c r="C32" s="29" t="s">
        <v>21</v>
      </c>
      <c r="D32" s="31" t="s">
        <v>45</v>
      </c>
      <c r="E32" s="31" t="s">
        <v>39</v>
      </c>
      <c r="F32" s="32" t="s">
        <v>16</v>
      </c>
      <c r="G32" s="33"/>
      <c r="H32" s="34"/>
      <c r="I32" s="50">
        <f t="shared" si="0"/>
        <v>0</v>
      </c>
    </row>
    <row r="33" spans="1:9" x14ac:dyDescent="0.3">
      <c r="A33" s="28" t="s">
        <v>46</v>
      </c>
      <c r="B33" s="29" t="s">
        <v>12</v>
      </c>
      <c r="C33" s="29" t="s">
        <v>37</v>
      </c>
      <c r="D33" s="31" t="s">
        <v>48</v>
      </c>
      <c r="E33" s="31" t="s">
        <v>39</v>
      </c>
      <c r="F33" s="32" t="s">
        <v>16</v>
      </c>
      <c r="G33" s="33"/>
      <c r="H33" s="34"/>
      <c r="I33" s="50">
        <f t="shared" si="0"/>
        <v>0</v>
      </c>
    </row>
    <row r="34" spans="1:9" x14ac:dyDescent="0.3">
      <c r="A34" s="28" t="s">
        <v>46</v>
      </c>
      <c r="B34" s="29" t="s">
        <v>49</v>
      </c>
      <c r="C34" s="29" t="s">
        <v>40</v>
      </c>
      <c r="D34" s="36" t="s">
        <v>51</v>
      </c>
      <c r="E34" s="31" t="s">
        <v>39</v>
      </c>
      <c r="F34" s="32" t="s">
        <v>16</v>
      </c>
      <c r="G34" s="33"/>
      <c r="H34" s="34"/>
      <c r="I34" s="50">
        <f t="shared" si="0"/>
        <v>0</v>
      </c>
    </row>
    <row r="35" spans="1:9" x14ac:dyDescent="0.3">
      <c r="A35" s="28" t="s">
        <v>46</v>
      </c>
      <c r="B35" s="29" t="s">
        <v>49</v>
      </c>
      <c r="C35" s="29" t="s">
        <v>42</v>
      </c>
      <c r="D35" s="36" t="s">
        <v>53</v>
      </c>
      <c r="E35" s="31" t="s">
        <v>39</v>
      </c>
      <c r="F35" s="32" t="s">
        <v>16</v>
      </c>
      <c r="G35" s="33"/>
      <c r="H35" s="34"/>
      <c r="I35" s="50">
        <f t="shared" si="0"/>
        <v>0</v>
      </c>
    </row>
    <row r="36" spans="1:9" ht="26.4" x14ac:dyDescent="0.3">
      <c r="A36" s="28" t="s">
        <v>46</v>
      </c>
      <c r="B36" s="29" t="s">
        <v>54</v>
      </c>
      <c r="C36" s="29" t="s">
        <v>44</v>
      </c>
      <c r="D36" s="36" t="s">
        <v>56</v>
      </c>
      <c r="E36" s="31" t="s">
        <v>39</v>
      </c>
      <c r="F36" s="32" t="s">
        <v>57</v>
      </c>
      <c r="G36" s="33"/>
      <c r="H36" s="34"/>
      <c r="I36" s="50">
        <f t="shared" si="0"/>
        <v>0</v>
      </c>
    </row>
    <row r="37" spans="1:9" ht="26.4" x14ac:dyDescent="0.3">
      <c r="A37" s="28" t="s">
        <v>46</v>
      </c>
      <c r="B37" s="29" t="s">
        <v>54</v>
      </c>
      <c r="C37" s="29" t="s">
        <v>225</v>
      </c>
      <c r="D37" s="36" t="s">
        <v>59</v>
      </c>
      <c r="E37" s="31" t="s">
        <v>39</v>
      </c>
      <c r="F37" s="32" t="s">
        <v>57</v>
      </c>
      <c r="G37" s="33"/>
      <c r="H37" s="34"/>
      <c r="I37" s="50">
        <f t="shared" si="0"/>
        <v>0</v>
      </c>
    </row>
    <row r="38" spans="1:9" x14ac:dyDescent="0.3">
      <c r="A38" s="28" t="s">
        <v>46</v>
      </c>
      <c r="B38" s="29" t="s">
        <v>54</v>
      </c>
      <c r="C38" s="29" t="s">
        <v>226</v>
      </c>
      <c r="D38" s="36" t="s">
        <v>61</v>
      </c>
      <c r="E38" s="31" t="s">
        <v>39</v>
      </c>
      <c r="F38" s="32" t="s">
        <v>62</v>
      </c>
      <c r="G38" s="33"/>
      <c r="H38" s="34"/>
      <c r="I38" s="50">
        <f t="shared" si="0"/>
        <v>0</v>
      </c>
    </row>
    <row r="39" spans="1:9" x14ac:dyDescent="0.3">
      <c r="A39" s="28" t="s">
        <v>46</v>
      </c>
      <c r="B39" s="29" t="s">
        <v>63</v>
      </c>
      <c r="C39" s="29" t="s">
        <v>227</v>
      </c>
      <c r="D39" s="31" t="s">
        <v>65</v>
      </c>
      <c r="E39" s="31" t="s">
        <v>39</v>
      </c>
      <c r="F39" s="32" t="s">
        <v>57</v>
      </c>
      <c r="G39" s="33"/>
      <c r="H39" s="34"/>
      <c r="I39" s="50">
        <f t="shared" si="0"/>
        <v>0</v>
      </c>
    </row>
    <row r="40" spans="1:9" x14ac:dyDescent="0.3">
      <c r="A40" s="28" t="s">
        <v>46</v>
      </c>
      <c r="B40" s="29" t="s">
        <v>66</v>
      </c>
      <c r="C40" s="29" t="s">
        <v>228</v>
      </c>
      <c r="D40" s="31" t="s">
        <v>68</v>
      </c>
      <c r="E40" s="31" t="s">
        <v>39</v>
      </c>
      <c r="F40" s="32" t="s">
        <v>69</v>
      </c>
      <c r="G40" s="33"/>
      <c r="H40" s="34"/>
      <c r="I40" s="50">
        <f t="shared" si="0"/>
        <v>0</v>
      </c>
    </row>
    <row r="41" spans="1:9" x14ac:dyDescent="0.3">
      <c r="A41" s="43" t="s">
        <v>46</v>
      </c>
      <c r="B41" s="44" t="s">
        <v>54</v>
      </c>
      <c r="C41" s="29" t="s">
        <v>229</v>
      </c>
      <c r="D41" s="45" t="s">
        <v>71</v>
      </c>
      <c r="E41" s="45" t="s">
        <v>39</v>
      </c>
      <c r="F41" s="46" t="s">
        <v>16</v>
      </c>
      <c r="G41" s="47"/>
      <c r="H41" s="34"/>
      <c r="I41" s="50">
        <f t="shared" si="0"/>
        <v>0</v>
      </c>
    </row>
    <row r="42" spans="1:9" x14ac:dyDescent="0.3">
      <c r="A42" s="43" t="s">
        <v>46</v>
      </c>
      <c r="B42" s="44" t="s">
        <v>54</v>
      </c>
      <c r="C42" s="29" t="s">
        <v>230</v>
      </c>
      <c r="D42" s="45" t="s">
        <v>73</v>
      </c>
      <c r="E42" s="45" t="s">
        <v>39</v>
      </c>
      <c r="F42" s="46" t="s">
        <v>16</v>
      </c>
      <c r="G42" s="47"/>
      <c r="H42" s="34"/>
      <c r="I42" s="50">
        <f t="shared" si="0"/>
        <v>0</v>
      </c>
    </row>
    <row r="43" spans="1:9" x14ac:dyDescent="0.3">
      <c r="A43" s="43" t="s">
        <v>46</v>
      </c>
      <c r="B43" s="44" t="s">
        <v>54</v>
      </c>
      <c r="C43" s="29" t="s">
        <v>231</v>
      </c>
      <c r="D43" s="45" t="s">
        <v>75</v>
      </c>
      <c r="E43" s="45" t="s">
        <v>39</v>
      </c>
      <c r="F43" s="46" t="s">
        <v>16</v>
      </c>
      <c r="G43" s="47"/>
      <c r="H43" s="34"/>
      <c r="I43" s="50">
        <f t="shared" si="0"/>
        <v>0</v>
      </c>
    </row>
    <row r="44" spans="1:9" x14ac:dyDescent="0.3">
      <c r="A44" s="29" t="s">
        <v>76</v>
      </c>
      <c r="B44" s="29" t="s">
        <v>76</v>
      </c>
      <c r="C44" s="29" t="s">
        <v>47</v>
      </c>
      <c r="D44" s="31" t="s">
        <v>78</v>
      </c>
      <c r="E44" s="31" t="s">
        <v>39</v>
      </c>
      <c r="F44" s="32" t="s">
        <v>57</v>
      </c>
      <c r="G44" s="33"/>
      <c r="H44" s="34"/>
      <c r="I44" s="50">
        <f t="shared" si="0"/>
        <v>0</v>
      </c>
    </row>
    <row r="45" spans="1:9" x14ac:dyDescent="0.3">
      <c r="A45" s="29" t="s">
        <v>76</v>
      </c>
      <c r="B45" s="29" t="s">
        <v>76</v>
      </c>
      <c r="C45" s="29" t="s">
        <v>50</v>
      </c>
      <c r="D45" s="31" t="s">
        <v>80</v>
      </c>
      <c r="E45" s="31" t="s">
        <v>39</v>
      </c>
      <c r="F45" s="32" t="s">
        <v>57</v>
      </c>
      <c r="G45" s="33"/>
      <c r="H45" s="34"/>
      <c r="I45" s="50">
        <f t="shared" si="0"/>
        <v>0</v>
      </c>
    </row>
    <row r="46" spans="1:9" x14ac:dyDescent="0.3">
      <c r="A46" s="29" t="s">
        <v>76</v>
      </c>
      <c r="B46" s="29" t="s">
        <v>76</v>
      </c>
      <c r="C46" s="29" t="s">
        <v>52</v>
      </c>
      <c r="D46" s="31" t="s">
        <v>82</v>
      </c>
      <c r="E46" s="31" t="s">
        <v>39</v>
      </c>
      <c r="F46" s="32" t="s">
        <v>57</v>
      </c>
      <c r="G46" s="33"/>
      <c r="H46" s="34"/>
      <c r="I46" s="50">
        <f t="shared" ref="I46:I77" si="1">H46*(1+$D$7)</f>
        <v>0</v>
      </c>
    </row>
    <row r="47" spans="1:9" x14ac:dyDescent="0.3">
      <c r="A47" s="29" t="s">
        <v>76</v>
      </c>
      <c r="B47" s="29" t="s">
        <v>76</v>
      </c>
      <c r="C47" s="29" t="s">
        <v>55</v>
      </c>
      <c r="D47" s="31" t="s">
        <v>84</v>
      </c>
      <c r="E47" s="31" t="s">
        <v>39</v>
      </c>
      <c r="F47" s="32" t="s">
        <v>57</v>
      </c>
      <c r="G47" s="33"/>
      <c r="H47" s="34"/>
      <c r="I47" s="50">
        <f t="shared" si="1"/>
        <v>0</v>
      </c>
    </row>
    <row r="48" spans="1:9" x14ac:dyDescent="0.3">
      <c r="A48" s="29" t="s">
        <v>76</v>
      </c>
      <c r="B48" s="29" t="s">
        <v>76</v>
      </c>
      <c r="C48" s="29" t="s">
        <v>58</v>
      </c>
      <c r="D48" s="31" t="s">
        <v>86</v>
      </c>
      <c r="E48" s="31" t="s">
        <v>39</v>
      </c>
      <c r="F48" s="32" t="s">
        <v>57</v>
      </c>
      <c r="G48" s="33"/>
      <c r="H48" s="34"/>
      <c r="I48" s="50">
        <f t="shared" si="1"/>
        <v>0</v>
      </c>
    </row>
    <row r="49" spans="1:9" x14ac:dyDescent="0.3">
      <c r="A49" s="29" t="s">
        <v>76</v>
      </c>
      <c r="B49" s="29" t="s">
        <v>76</v>
      </c>
      <c r="C49" s="29" t="s">
        <v>60</v>
      </c>
      <c r="D49" s="31" t="s">
        <v>88</v>
      </c>
      <c r="E49" s="31" t="s">
        <v>39</v>
      </c>
      <c r="F49" s="32" t="s">
        <v>89</v>
      </c>
      <c r="G49" s="33"/>
      <c r="H49" s="34"/>
      <c r="I49" s="50">
        <f t="shared" si="1"/>
        <v>0</v>
      </c>
    </row>
    <row r="50" spans="1:9" x14ac:dyDescent="0.3">
      <c r="A50" s="29" t="s">
        <v>76</v>
      </c>
      <c r="B50" s="29" t="s">
        <v>76</v>
      </c>
      <c r="C50" s="29" t="s">
        <v>64</v>
      </c>
      <c r="D50" s="31" t="s">
        <v>91</v>
      </c>
      <c r="E50" s="31" t="s">
        <v>39</v>
      </c>
      <c r="F50" s="32" t="s">
        <v>57</v>
      </c>
      <c r="G50" s="33"/>
      <c r="H50" s="34"/>
      <c r="I50" s="50">
        <f t="shared" si="1"/>
        <v>0</v>
      </c>
    </row>
    <row r="51" spans="1:9" x14ac:dyDescent="0.3">
      <c r="A51" s="29" t="s">
        <v>76</v>
      </c>
      <c r="B51" s="29" t="s">
        <v>76</v>
      </c>
      <c r="C51" s="29" t="s">
        <v>67</v>
      </c>
      <c r="D51" s="31" t="s">
        <v>93</v>
      </c>
      <c r="E51" s="31" t="s">
        <v>39</v>
      </c>
      <c r="F51" s="32" t="s">
        <v>89</v>
      </c>
      <c r="G51" s="33"/>
      <c r="H51" s="34"/>
      <c r="I51" s="50">
        <f t="shared" si="1"/>
        <v>0</v>
      </c>
    </row>
    <row r="52" spans="1:9" x14ac:dyDescent="0.3">
      <c r="A52" s="29" t="s">
        <v>76</v>
      </c>
      <c r="B52" s="29" t="s">
        <v>76</v>
      </c>
      <c r="C52" s="29" t="s">
        <v>70</v>
      </c>
      <c r="D52" s="31" t="s">
        <v>95</v>
      </c>
      <c r="E52" s="31" t="s">
        <v>39</v>
      </c>
      <c r="F52" s="32" t="s">
        <v>62</v>
      </c>
      <c r="G52" s="33"/>
      <c r="H52" s="34"/>
      <c r="I52" s="50">
        <f t="shared" si="1"/>
        <v>0</v>
      </c>
    </row>
    <row r="53" spans="1:9" x14ac:dyDescent="0.3">
      <c r="A53" s="29" t="s">
        <v>76</v>
      </c>
      <c r="B53" s="29" t="s">
        <v>76</v>
      </c>
      <c r="C53" s="29" t="s">
        <v>72</v>
      </c>
      <c r="D53" s="31" t="s">
        <v>97</v>
      </c>
      <c r="E53" s="31" t="s">
        <v>39</v>
      </c>
      <c r="F53" s="32" t="s">
        <v>62</v>
      </c>
      <c r="G53" s="33"/>
      <c r="H53" s="34"/>
      <c r="I53" s="50">
        <f t="shared" si="1"/>
        <v>0</v>
      </c>
    </row>
    <row r="54" spans="1:9" x14ac:dyDescent="0.3">
      <c r="A54" s="29" t="s">
        <v>76</v>
      </c>
      <c r="B54" s="29" t="s">
        <v>76</v>
      </c>
      <c r="C54" s="29" t="s">
        <v>74</v>
      </c>
      <c r="D54" s="31" t="s">
        <v>99</v>
      </c>
      <c r="E54" s="31" t="s">
        <v>39</v>
      </c>
      <c r="F54" s="32" t="s">
        <v>62</v>
      </c>
      <c r="G54" s="33"/>
      <c r="H54" s="34"/>
      <c r="I54" s="50">
        <f t="shared" si="1"/>
        <v>0</v>
      </c>
    </row>
    <row r="55" spans="1:9" x14ac:dyDescent="0.3">
      <c r="A55" s="29" t="s">
        <v>76</v>
      </c>
      <c r="B55" s="29" t="s">
        <v>100</v>
      </c>
      <c r="C55" s="29" t="s">
        <v>232</v>
      </c>
      <c r="D55" s="31" t="s">
        <v>102</v>
      </c>
      <c r="E55" s="31" t="s">
        <v>39</v>
      </c>
      <c r="F55" s="32" t="s">
        <v>57</v>
      </c>
      <c r="G55" s="33"/>
      <c r="H55" s="34"/>
      <c r="I55" s="50">
        <f t="shared" si="1"/>
        <v>0</v>
      </c>
    </row>
    <row r="56" spans="1:9" x14ac:dyDescent="0.3">
      <c r="A56" s="29" t="s">
        <v>76</v>
      </c>
      <c r="B56" s="29" t="s">
        <v>100</v>
      </c>
      <c r="C56" s="29" t="s">
        <v>233</v>
      </c>
      <c r="D56" s="31" t="s">
        <v>104</v>
      </c>
      <c r="E56" s="31" t="s">
        <v>39</v>
      </c>
      <c r="F56" s="32" t="s">
        <v>57</v>
      </c>
      <c r="G56" s="33"/>
      <c r="H56" s="34"/>
      <c r="I56" s="50">
        <f t="shared" si="1"/>
        <v>0</v>
      </c>
    </row>
    <row r="57" spans="1:9" x14ac:dyDescent="0.3">
      <c r="A57" s="29" t="s">
        <v>76</v>
      </c>
      <c r="B57" s="29" t="s">
        <v>105</v>
      </c>
      <c r="C57" s="29" t="s">
        <v>234</v>
      </c>
      <c r="D57" s="31" t="s">
        <v>107</v>
      </c>
      <c r="E57" s="31" t="s">
        <v>39</v>
      </c>
      <c r="F57" s="32" t="s">
        <v>57</v>
      </c>
      <c r="G57" s="33"/>
      <c r="H57" s="34"/>
      <c r="I57" s="50">
        <f t="shared" si="1"/>
        <v>0</v>
      </c>
    </row>
    <row r="58" spans="1:9" x14ac:dyDescent="0.3">
      <c r="A58" s="29" t="s">
        <v>76</v>
      </c>
      <c r="B58" s="29" t="s">
        <v>105</v>
      </c>
      <c r="C58" s="29" t="s">
        <v>235</v>
      </c>
      <c r="D58" s="31" t="s">
        <v>109</v>
      </c>
      <c r="E58" s="31" t="s">
        <v>39</v>
      </c>
      <c r="F58" s="32" t="s">
        <v>16</v>
      </c>
      <c r="G58" s="33"/>
      <c r="H58" s="34"/>
      <c r="I58" s="50">
        <f t="shared" si="1"/>
        <v>0</v>
      </c>
    </row>
    <row r="59" spans="1:9" x14ac:dyDescent="0.3">
      <c r="A59" s="29" t="s">
        <v>76</v>
      </c>
      <c r="B59" s="37" t="s">
        <v>110</v>
      </c>
      <c r="C59" s="29" t="s">
        <v>236</v>
      </c>
      <c r="D59" s="31" t="s">
        <v>112</v>
      </c>
      <c r="E59" s="31" t="s">
        <v>39</v>
      </c>
      <c r="F59" s="32" t="s">
        <v>57</v>
      </c>
      <c r="G59" s="33"/>
      <c r="H59" s="34"/>
      <c r="I59" s="50">
        <f t="shared" si="1"/>
        <v>0</v>
      </c>
    </row>
    <row r="60" spans="1:9" x14ac:dyDescent="0.3">
      <c r="A60" s="29" t="s">
        <v>76</v>
      </c>
      <c r="B60" s="37" t="s">
        <v>110</v>
      </c>
      <c r="C60" s="29" t="s">
        <v>237</v>
      </c>
      <c r="D60" s="31" t="s">
        <v>114</v>
      </c>
      <c r="E60" s="31" t="s">
        <v>39</v>
      </c>
      <c r="F60" s="32" t="s">
        <v>57</v>
      </c>
      <c r="G60" s="33"/>
      <c r="H60" s="34"/>
      <c r="I60" s="50">
        <f t="shared" si="1"/>
        <v>0</v>
      </c>
    </row>
    <row r="61" spans="1:9" x14ac:dyDescent="0.3">
      <c r="A61" s="29" t="s">
        <v>76</v>
      </c>
      <c r="B61" s="29" t="s">
        <v>115</v>
      </c>
      <c r="C61" s="29" t="s">
        <v>238</v>
      </c>
      <c r="D61" s="31" t="s">
        <v>117</v>
      </c>
      <c r="E61" s="31" t="s">
        <v>39</v>
      </c>
      <c r="F61" s="32" t="s">
        <v>57</v>
      </c>
      <c r="G61" s="33"/>
      <c r="H61" s="34"/>
      <c r="I61" s="50">
        <f t="shared" si="1"/>
        <v>0</v>
      </c>
    </row>
    <row r="62" spans="1:9" x14ac:dyDescent="0.3">
      <c r="A62" s="29" t="s">
        <v>76</v>
      </c>
      <c r="B62" s="29" t="s">
        <v>118</v>
      </c>
      <c r="C62" s="29" t="s">
        <v>239</v>
      </c>
      <c r="D62" s="31" t="s">
        <v>120</v>
      </c>
      <c r="E62" s="31" t="s">
        <v>39</v>
      </c>
      <c r="F62" s="32" t="s">
        <v>57</v>
      </c>
      <c r="G62" s="33"/>
      <c r="H62" s="34"/>
      <c r="I62" s="50">
        <f t="shared" si="1"/>
        <v>0</v>
      </c>
    </row>
    <row r="63" spans="1:9" x14ac:dyDescent="0.3">
      <c r="A63" s="29" t="s">
        <v>76</v>
      </c>
      <c r="B63" s="29" t="s">
        <v>121</v>
      </c>
      <c r="C63" s="29" t="s">
        <v>240</v>
      </c>
      <c r="D63" s="31" t="s">
        <v>123</v>
      </c>
      <c r="E63" s="31" t="s">
        <v>39</v>
      </c>
      <c r="F63" s="32" t="s">
        <v>57</v>
      </c>
      <c r="G63" s="33"/>
      <c r="H63" s="34"/>
      <c r="I63" s="50">
        <f t="shared" si="1"/>
        <v>0</v>
      </c>
    </row>
    <row r="64" spans="1:9" x14ac:dyDescent="0.3">
      <c r="A64" s="43" t="s">
        <v>76</v>
      </c>
      <c r="B64" s="44" t="s">
        <v>76</v>
      </c>
      <c r="C64" s="29" t="s">
        <v>241</v>
      </c>
      <c r="D64" s="45" t="s">
        <v>125</v>
      </c>
      <c r="E64" s="45" t="s">
        <v>39</v>
      </c>
      <c r="F64" s="46" t="s">
        <v>16</v>
      </c>
      <c r="G64" s="47"/>
      <c r="H64" s="34"/>
      <c r="I64" s="50">
        <f t="shared" si="1"/>
        <v>0</v>
      </c>
    </row>
    <row r="65" spans="1:9" x14ac:dyDescent="0.3">
      <c r="A65" s="43" t="s">
        <v>76</v>
      </c>
      <c r="B65" s="44" t="s">
        <v>118</v>
      </c>
      <c r="C65" s="29" t="s">
        <v>242</v>
      </c>
      <c r="D65" s="45" t="s">
        <v>126</v>
      </c>
      <c r="E65" s="45" t="s">
        <v>39</v>
      </c>
      <c r="F65" s="46" t="s">
        <v>57</v>
      </c>
      <c r="G65" s="47"/>
      <c r="H65" s="34"/>
      <c r="I65" s="50">
        <f t="shared" si="1"/>
        <v>0</v>
      </c>
    </row>
    <row r="66" spans="1:9" x14ac:dyDescent="0.3">
      <c r="A66" s="43" t="s">
        <v>127</v>
      </c>
      <c r="B66" s="43" t="s">
        <v>128</v>
      </c>
      <c r="C66" s="44" t="s">
        <v>77</v>
      </c>
      <c r="D66" s="45" t="s">
        <v>130</v>
      </c>
      <c r="E66" s="45" t="s">
        <v>39</v>
      </c>
      <c r="F66" s="46" t="s">
        <v>62</v>
      </c>
      <c r="G66" s="47"/>
      <c r="H66" s="34"/>
      <c r="I66" s="50">
        <f t="shared" si="1"/>
        <v>0</v>
      </c>
    </row>
    <row r="67" spans="1:9" x14ac:dyDescent="0.3">
      <c r="A67" s="28" t="s">
        <v>127</v>
      </c>
      <c r="B67" s="28" t="s">
        <v>128</v>
      </c>
      <c r="C67" s="44" t="s">
        <v>79</v>
      </c>
      <c r="D67" s="31" t="s">
        <v>131</v>
      </c>
      <c r="E67" s="31" t="s">
        <v>39</v>
      </c>
      <c r="F67" s="32" t="s">
        <v>62</v>
      </c>
      <c r="G67" s="33"/>
      <c r="H67" s="34"/>
      <c r="I67" s="50">
        <f t="shared" si="1"/>
        <v>0</v>
      </c>
    </row>
    <row r="68" spans="1:9" ht="39.6" x14ac:dyDescent="0.3">
      <c r="A68" s="28" t="s">
        <v>127</v>
      </c>
      <c r="B68" s="28" t="s">
        <v>128</v>
      </c>
      <c r="C68" s="44" t="s">
        <v>81</v>
      </c>
      <c r="D68" s="31" t="s">
        <v>132</v>
      </c>
      <c r="E68" s="31" t="s">
        <v>39</v>
      </c>
      <c r="F68" s="32" t="s">
        <v>133</v>
      </c>
      <c r="G68" s="33"/>
      <c r="H68" s="34"/>
      <c r="I68" s="50">
        <f t="shared" si="1"/>
        <v>0</v>
      </c>
    </row>
    <row r="69" spans="1:9" x14ac:dyDescent="0.3">
      <c r="A69" s="28" t="s">
        <v>127</v>
      </c>
      <c r="B69" s="29" t="s">
        <v>134</v>
      </c>
      <c r="C69" s="44" t="s">
        <v>83</v>
      </c>
      <c r="D69" s="31" t="s">
        <v>135</v>
      </c>
      <c r="E69" s="31" t="s">
        <v>39</v>
      </c>
      <c r="F69" s="32" t="s">
        <v>16</v>
      </c>
      <c r="G69" s="33"/>
      <c r="H69" s="34"/>
      <c r="I69" s="50">
        <f t="shared" si="1"/>
        <v>0</v>
      </c>
    </row>
    <row r="70" spans="1:9" x14ac:dyDescent="0.3">
      <c r="A70" s="28" t="s">
        <v>127</v>
      </c>
      <c r="B70" s="29" t="s">
        <v>134</v>
      </c>
      <c r="C70" s="44" t="s">
        <v>85</v>
      </c>
      <c r="D70" s="31" t="s">
        <v>136</v>
      </c>
      <c r="E70" s="31" t="s">
        <v>39</v>
      </c>
      <c r="F70" s="32" t="s">
        <v>16</v>
      </c>
      <c r="G70" s="33"/>
      <c r="H70" s="34"/>
      <c r="I70" s="50">
        <f t="shared" si="1"/>
        <v>0</v>
      </c>
    </row>
    <row r="71" spans="1:9" x14ac:dyDescent="0.3">
      <c r="A71" s="28" t="s">
        <v>127</v>
      </c>
      <c r="B71" s="29" t="s">
        <v>134</v>
      </c>
      <c r="C71" s="44" t="s">
        <v>87</v>
      </c>
      <c r="D71" s="31" t="s">
        <v>137</v>
      </c>
      <c r="E71" s="31" t="s">
        <v>39</v>
      </c>
      <c r="F71" s="32" t="s">
        <v>16</v>
      </c>
      <c r="G71" s="33"/>
      <c r="H71" s="34"/>
      <c r="I71" s="50">
        <f t="shared" si="1"/>
        <v>0</v>
      </c>
    </row>
    <row r="72" spans="1:9" ht="26.4" x14ac:dyDescent="0.3">
      <c r="A72" s="28" t="s">
        <v>127</v>
      </c>
      <c r="B72" s="29" t="s">
        <v>138</v>
      </c>
      <c r="C72" s="44" t="s">
        <v>90</v>
      </c>
      <c r="D72" s="31" t="s">
        <v>249</v>
      </c>
      <c r="E72" s="31" t="s">
        <v>39</v>
      </c>
      <c r="F72" s="32" t="s">
        <v>16</v>
      </c>
      <c r="G72" s="33"/>
      <c r="H72" s="34"/>
      <c r="I72" s="50">
        <f t="shared" si="1"/>
        <v>0</v>
      </c>
    </row>
    <row r="73" spans="1:9" ht="26.4" x14ac:dyDescent="0.3">
      <c r="A73" s="28" t="s">
        <v>127</v>
      </c>
      <c r="B73" s="29" t="s">
        <v>138</v>
      </c>
      <c r="C73" s="44" t="s">
        <v>92</v>
      </c>
      <c r="D73" s="31" t="s">
        <v>250</v>
      </c>
      <c r="E73" s="31" t="s">
        <v>39</v>
      </c>
      <c r="F73" s="32" t="s">
        <v>16</v>
      </c>
      <c r="G73" s="33"/>
      <c r="H73" s="34"/>
      <c r="I73" s="50">
        <f t="shared" si="1"/>
        <v>0</v>
      </c>
    </row>
    <row r="74" spans="1:9" x14ac:dyDescent="0.3">
      <c r="A74" s="28" t="s">
        <v>127</v>
      </c>
      <c r="B74" s="29" t="s">
        <v>139</v>
      </c>
      <c r="C74" s="44" t="s">
        <v>94</v>
      </c>
      <c r="D74" s="31" t="s">
        <v>140</v>
      </c>
      <c r="E74" s="31" t="s">
        <v>39</v>
      </c>
      <c r="F74" s="32" t="s">
        <v>16</v>
      </c>
      <c r="G74" s="33"/>
      <c r="H74" s="34"/>
      <c r="I74" s="50">
        <f t="shared" si="1"/>
        <v>0</v>
      </c>
    </row>
    <row r="75" spans="1:9" x14ac:dyDescent="0.3">
      <c r="A75" s="28" t="s">
        <v>127</v>
      </c>
      <c r="B75" s="29" t="s">
        <v>139</v>
      </c>
      <c r="C75" s="44" t="s">
        <v>96</v>
      </c>
      <c r="D75" s="31" t="s">
        <v>141</v>
      </c>
      <c r="E75" s="31" t="s">
        <v>39</v>
      </c>
      <c r="F75" s="32" t="s">
        <v>16</v>
      </c>
      <c r="G75" s="33"/>
      <c r="H75" s="34"/>
      <c r="I75" s="50">
        <f t="shared" si="1"/>
        <v>0</v>
      </c>
    </row>
    <row r="76" spans="1:9" ht="26.4" x14ac:dyDescent="0.3">
      <c r="A76" s="28" t="s">
        <v>127</v>
      </c>
      <c r="B76" s="29" t="s">
        <v>142</v>
      </c>
      <c r="C76" s="44" t="s">
        <v>98</v>
      </c>
      <c r="D76" s="31" t="s">
        <v>143</v>
      </c>
      <c r="E76" s="31" t="s">
        <v>39</v>
      </c>
      <c r="F76" s="32" t="s">
        <v>16</v>
      </c>
      <c r="G76" s="33"/>
      <c r="H76" s="34"/>
      <c r="I76" s="50">
        <f t="shared" si="1"/>
        <v>0</v>
      </c>
    </row>
    <row r="77" spans="1:9" x14ac:dyDescent="0.3">
      <c r="A77" s="28" t="s">
        <v>127</v>
      </c>
      <c r="B77" s="29" t="s">
        <v>144</v>
      </c>
      <c r="C77" s="44" t="s">
        <v>101</v>
      </c>
      <c r="D77" s="31" t="s">
        <v>145</v>
      </c>
      <c r="E77" s="31" t="s">
        <v>39</v>
      </c>
      <c r="F77" s="32" t="s">
        <v>16</v>
      </c>
      <c r="G77" s="33"/>
      <c r="H77" s="34"/>
      <c r="I77" s="50">
        <f t="shared" si="1"/>
        <v>0</v>
      </c>
    </row>
    <row r="78" spans="1:9" x14ac:dyDescent="0.3">
      <c r="A78" s="28" t="s">
        <v>127</v>
      </c>
      <c r="B78" s="29" t="s">
        <v>144</v>
      </c>
      <c r="C78" s="44" t="s">
        <v>103</v>
      </c>
      <c r="D78" s="31" t="s">
        <v>146</v>
      </c>
      <c r="E78" s="31" t="s">
        <v>39</v>
      </c>
      <c r="F78" s="32" t="s">
        <v>16</v>
      </c>
      <c r="G78" s="33"/>
      <c r="H78" s="34"/>
      <c r="I78" s="50">
        <f t="shared" ref="I78:I97" si="2">H78*(1+$D$7)</f>
        <v>0</v>
      </c>
    </row>
    <row r="79" spans="1:9" x14ac:dyDescent="0.3">
      <c r="A79" s="28" t="s">
        <v>127</v>
      </c>
      <c r="B79" s="29" t="s">
        <v>139</v>
      </c>
      <c r="C79" s="44" t="s">
        <v>106</v>
      </c>
      <c r="D79" s="31" t="s">
        <v>147</v>
      </c>
      <c r="E79" s="31" t="s">
        <v>39</v>
      </c>
      <c r="F79" s="32" t="s">
        <v>57</v>
      </c>
      <c r="G79" s="33"/>
      <c r="H79" s="34"/>
      <c r="I79" s="50">
        <f t="shared" si="2"/>
        <v>0</v>
      </c>
    </row>
    <row r="80" spans="1:9" x14ac:dyDescent="0.3">
      <c r="A80" s="28" t="s">
        <v>127</v>
      </c>
      <c r="B80" s="29" t="s">
        <v>139</v>
      </c>
      <c r="C80" s="44" t="s">
        <v>108</v>
      </c>
      <c r="D80" s="31" t="s">
        <v>148</v>
      </c>
      <c r="E80" s="31" t="s">
        <v>39</v>
      </c>
      <c r="F80" s="32" t="s">
        <v>57</v>
      </c>
      <c r="G80" s="33"/>
      <c r="H80" s="34"/>
      <c r="I80" s="50">
        <f t="shared" si="2"/>
        <v>0</v>
      </c>
    </row>
    <row r="81" spans="1:9" x14ac:dyDescent="0.3">
      <c r="A81" s="43" t="s">
        <v>127</v>
      </c>
      <c r="B81" s="44" t="s">
        <v>105</v>
      </c>
      <c r="C81" s="44" t="s">
        <v>111</v>
      </c>
      <c r="D81" s="45" t="s">
        <v>149</v>
      </c>
      <c r="E81" s="45" t="s">
        <v>39</v>
      </c>
      <c r="F81" s="46" t="s">
        <v>57</v>
      </c>
      <c r="G81" s="47"/>
      <c r="H81" s="34"/>
      <c r="I81" s="50">
        <f t="shared" si="2"/>
        <v>0</v>
      </c>
    </row>
    <row r="82" spans="1:9" x14ac:dyDescent="0.3">
      <c r="A82" s="43" t="s">
        <v>127</v>
      </c>
      <c r="B82" s="44" t="s">
        <v>138</v>
      </c>
      <c r="C82" s="44" t="s">
        <v>113</v>
      </c>
      <c r="D82" s="48" t="s">
        <v>150</v>
      </c>
      <c r="E82" s="45" t="s">
        <v>39</v>
      </c>
      <c r="F82" s="46" t="s">
        <v>62</v>
      </c>
      <c r="G82" s="47"/>
      <c r="H82" s="34"/>
      <c r="I82" s="50">
        <f t="shared" si="2"/>
        <v>0</v>
      </c>
    </row>
    <row r="83" spans="1:9" x14ac:dyDescent="0.3">
      <c r="A83" s="43" t="s">
        <v>127</v>
      </c>
      <c r="B83" s="44" t="s">
        <v>139</v>
      </c>
      <c r="C83" s="44" t="s">
        <v>116</v>
      </c>
      <c r="D83" s="45" t="s">
        <v>151</v>
      </c>
      <c r="E83" s="45" t="s">
        <v>39</v>
      </c>
      <c r="F83" s="46" t="s">
        <v>16</v>
      </c>
      <c r="G83" s="47"/>
      <c r="H83" s="34"/>
      <c r="I83" s="50">
        <f t="shared" si="2"/>
        <v>0</v>
      </c>
    </row>
    <row r="84" spans="1:9" x14ac:dyDescent="0.3">
      <c r="A84" s="43" t="s">
        <v>127</v>
      </c>
      <c r="B84" s="44" t="s">
        <v>139</v>
      </c>
      <c r="C84" s="44" t="s">
        <v>119</v>
      </c>
      <c r="D84" s="45" t="s">
        <v>152</v>
      </c>
      <c r="E84" s="45" t="s">
        <v>39</v>
      </c>
      <c r="F84" s="46" t="s">
        <v>16</v>
      </c>
      <c r="G84" s="47"/>
      <c r="H84" s="34"/>
      <c r="I84" s="50">
        <f t="shared" si="2"/>
        <v>0</v>
      </c>
    </row>
    <row r="85" spans="1:9" x14ac:dyDescent="0.3">
      <c r="A85" s="43" t="s">
        <v>127</v>
      </c>
      <c r="B85" s="44" t="s">
        <v>138</v>
      </c>
      <c r="C85" s="44" t="s">
        <v>122</v>
      </c>
      <c r="D85" s="45" t="s">
        <v>153</v>
      </c>
      <c r="E85" s="45" t="s">
        <v>39</v>
      </c>
      <c r="F85" s="46" t="s">
        <v>16</v>
      </c>
      <c r="G85" s="47"/>
      <c r="H85" s="34"/>
      <c r="I85" s="50">
        <f t="shared" si="2"/>
        <v>0</v>
      </c>
    </row>
    <row r="86" spans="1:9" x14ac:dyDescent="0.3">
      <c r="A86" s="43" t="s">
        <v>127</v>
      </c>
      <c r="B86" s="44" t="s">
        <v>128</v>
      </c>
      <c r="C86" s="44" t="s">
        <v>124</v>
      </c>
      <c r="D86" s="45" t="s">
        <v>154</v>
      </c>
      <c r="E86" s="45" t="s">
        <v>39</v>
      </c>
      <c r="F86" s="46" t="s">
        <v>16</v>
      </c>
      <c r="G86" s="47"/>
      <c r="H86" s="34"/>
      <c r="I86" s="50">
        <f t="shared" si="2"/>
        <v>0</v>
      </c>
    </row>
    <row r="87" spans="1:9" ht="39.6" x14ac:dyDescent="0.3">
      <c r="A87" s="28" t="s">
        <v>155</v>
      </c>
      <c r="B87" s="29" t="s">
        <v>156</v>
      </c>
      <c r="C87" s="29" t="s">
        <v>129</v>
      </c>
      <c r="D87" s="31" t="s">
        <v>158</v>
      </c>
      <c r="E87" s="31" t="s">
        <v>39</v>
      </c>
      <c r="F87" s="32" t="s">
        <v>159</v>
      </c>
      <c r="G87" s="33"/>
      <c r="H87" s="34"/>
      <c r="I87" s="50">
        <f t="shared" si="2"/>
        <v>0</v>
      </c>
    </row>
    <row r="88" spans="1:9" x14ac:dyDescent="0.3">
      <c r="A88" s="28" t="s">
        <v>160</v>
      </c>
      <c r="B88" s="29" t="s">
        <v>161</v>
      </c>
      <c r="C88" s="29" t="s">
        <v>157</v>
      </c>
      <c r="D88" s="31" t="s">
        <v>163</v>
      </c>
      <c r="E88" s="31" t="s">
        <v>39</v>
      </c>
      <c r="F88" s="32" t="s">
        <v>164</v>
      </c>
      <c r="G88" s="33"/>
      <c r="H88" s="34"/>
      <c r="I88" s="50">
        <f t="shared" si="2"/>
        <v>0</v>
      </c>
    </row>
    <row r="89" spans="1:9" x14ac:dyDescent="0.3">
      <c r="A89" s="28" t="s">
        <v>160</v>
      </c>
      <c r="B89" s="29" t="s">
        <v>161</v>
      </c>
      <c r="C89" s="29" t="s">
        <v>243</v>
      </c>
      <c r="D89" s="31" t="s">
        <v>166</v>
      </c>
      <c r="E89" s="31" t="s">
        <v>39</v>
      </c>
      <c r="F89" s="32" t="s">
        <v>164</v>
      </c>
      <c r="G89" s="33"/>
      <c r="H89" s="34"/>
      <c r="I89" s="50">
        <f t="shared" si="2"/>
        <v>0</v>
      </c>
    </row>
    <row r="90" spans="1:9" ht="26.4" x14ac:dyDescent="0.3">
      <c r="A90" s="28" t="s">
        <v>160</v>
      </c>
      <c r="B90" s="29" t="s">
        <v>161</v>
      </c>
      <c r="C90" s="29" t="s">
        <v>244</v>
      </c>
      <c r="D90" s="31" t="s">
        <v>167</v>
      </c>
      <c r="E90" s="31" t="s">
        <v>39</v>
      </c>
      <c r="F90" s="32" t="s">
        <v>164</v>
      </c>
      <c r="G90" s="33"/>
      <c r="H90" s="34"/>
      <c r="I90" s="50">
        <f t="shared" si="2"/>
        <v>0</v>
      </c>
    </row>
    <row r="91" spans="1:9" ht="26.4" x14ac:dyDescent="0.3">
      <c r="A91" s="28" t="s">
        <v>160</v>
      </c>
      <c r="B91" s="29" t="s">
        <v>161</v>
      </c>
      <c r="C91" s="29" t="s">
        <v>245</v>
      </c>
      <c r="D91" s="31" t="s">
        <v>168</v>
      </c>
      <c r="E91" s="31" t="s">
        <v>39</v>
      </c>
      <c r="F91" s="32" t="s">
        <v>164</v>
      </c>
      <c r="G91" s="33"/>
      <c r="H91" s="34"/>
      <c r="I91" s="50">
        <f t="shared" si="2"/>
        <v>0</v>
      </c>
    </row>
    <row r="92" spans="1:9" x14ac:dyDescent="0.3">
      <c r="A92" s="43" t="s">
        <v>169</v>
      </c>
      <c r="B92" s="44" t="s">
        <v>169</v>
      </c>
      <c r="C92" s="29" t="s">
        <v>246</v>
      </c>
      <c r="D92" s="45" t="s">
        <v>170</v>
      </c>
      <c r="E92" s="45" t="s">
        <v>39</v>
      </c>
      <c r="F92" s="46" t="s">
        <v>16</v>
      </c>
      <c r="G92" s="33"/>
      <c r="H92" s="34"/>
      <c r="I92" s="50">
        <f t="shared" si="2"/>
        <v>0</v>
      </c>
    </row>
    <row r="93" spans="1:9" x14ac:dyDescent="0.3">
      <c r="A93" s="28" t="s">
        <v>171</v>
      </c>
      <c r="B93" s="29" t="s">
        <v>172</v>
      </c>
      <c r="C93" s="29" t="s">
        <v>162</v>
      </c>
      <c r="D93" s="31" t="s">
        <v>174</v>
      </c>
      <c r="E93" s="31" t="s">
        <v>175</v>
      </c>
      <c r="F93" s="32" t="s">
        <v>176</v>
      </c>
      <c r="G93" s="33"/>
      <c r="H93" s="34"/>
      <c r="I93" s="50">
        <f t="shared" si="2"/>
        <v>0</v>
      </c>
    </row>
    <row r="94" spans="1:9" x14ac:dyDescent="0.3">
      <c r="A94" s="28" t="s">
        <v>171</v>
      </c>
      <c r="B94" s="29" t="s">
        <v>177</v>
      </c>
      <c r="C94" s="29" t="s">
        <v>165</v>
      </c>
      <c r="D94" s="31" t="s">
        <v>179</v>
      </c>
      <c r="E94" s="31" t="s">
        <v>180</v>
      </c>
      <c r="F94" s="32" t="s">
        <v>181</v>
      </c>
      <c r="G94" s="33"/>
      <c r="H94" s="34"/>
      <c r="I94" s="50">
        <f t="shared" si="2"/>
        <v>0</v>
      </c>
    </row>
    <row r="95" spans="1:9" ht="26.4" x14ac:dyDescent="0.3">
      <c r="A95" s="28" t="s">
        <v>182</v>
      </c>
      <c r="B95" s="29" t="s">
        <v>183</v>
      </c>
      <c r="C95" s="29" t="s">
        <v>173</v>
      </c>
      <c r="D95" s="31" t="s">
        <v>185</v>
      </c>
      <c r="E95" s="31" t="s">
        <v>39</v>
      </c>
      <c r="F95" s="32" t="s">
        <v>186</v>
      </c>
      <c r="G95" s="33"/>
      <c r="H95" s="34"/>
      <c r="I95" s="50">
        <f t="shared" si="2"/>
        <v>0</v>
      </c>
    </row>
    <row r="96" spans="1:9" x14ac:dyDescent="0.3">
      <c r="A96" s="28" t="s">
        <v>187</v>
      </c>
      <c r="B96" s="29" t="s">
        <v>187</v>
      </c>
      <c r="C96" s="29" t="s">
        <v>178</v>
      </c>
      <c r="D96" s="31" t="s">
        <v>189</v>
      </c>
      <c r="E96" s="31" t="s">
        <v>39</v>
      </c>
      <c r="F96" s="32" t="s">
        <v>16</v>
      </c>
      <c r="G96" s="33"/>
      <c r="H96" s="34"/>
      <c r="I96" s="50">
        <f t="shared" si="2"/>
        <v>0</v>
      </c>
    </row>
    <row r="97" spans="1:9" x14ac:dyDescent="0.3">
      <c r="A97" s="38" t="s">
        <v>190</v>
      </c>
      <c r="B97" s="39" t="s">
        <v>191</v>
      </c>
      <c r="C97" s="39" t="s">
        <v>184</v>
      </c>
      <c r="D97" s="36" t="s">
        <v>192</v>
      </c>
      <c r="E97" s="36" t="s">
        <v>175</v>
      </c>
      <c r="F97" s="40" t="s">
        <v>193</v>
      </c>
      <c r="G97" s="33"/>
      <c r="H97" s="34"/>
      <c r="I97" s="51">
        <f t="shared" si="2"/>
        <v>0</v>
      </c>
    </row>
    <row r="98" spans="1:9" x14ac:dyDescent="0.3">
      <c r="A98" s="28" t="s">
        <v>190</v>
      </c>
      <c r="B98" s="29" t="s">
        <v>194</v>
      </c>
      <c r="C98" s="39" t="s">
        <v>188</v>
      </c>
      <c r="D98" s="28" t="s">
        <v>195</v>
      </c>
      <c r="E98" s="28" t="s">
        <v>175</v>
      </c>
      <c r="F98" s="30" t="s">
        <v>196</v>
      </c>
      <c r="G98" s="33"/>
      <c r="H98" s="52"/>
      <c r="I98" s="49"/>
    </row>
    <row r="99" spans="1:9" x14ac:dyDescent="0.3">
      <c r="A99" s="41" t="s">
        <v>197</v>
      </c>
      <c r="B99" s="42" t="s">
        <v>198</v>
      </c>
      <c r="C99" s="42"/>
      <c r="D99" s="37" t="s">
        <v>199</v>
      </c>
      <c r="E99" s="49"/>
      <c r="F99" s="29" t="s">
        <v>3</v>
      </c>
      <c r="G99" s="33"/>
      <c r="H99" s="52"/>
      <c r="I99" s="54"/>
    </row>
    <row r="100" spans="1:9" x14ac:dyDescent="0.3">
      <c r="A100"/>
      <c r="B100"/>
      <c r="C100"/>
      <c r="D100"/>
      <c r="E100"/>
      <c r="F100"/>
      <c r="G100" s="53"/>
      <c r="H100"/>
      <c r="I100"/>
    </row>
    <row r="101" spans="1:9" x14ac:dyDescent="0.3">
      <c r="G101" s="53"/>
    </row>
    <row r="103" spans="1:9" x14ac:dyDescent="0.3">
      <c r="A103" s="26" t="s">
        <v>200</v>
      </c>
    </row>
    <row r="104" spans="1:9" x14ac:dyDescent="0.3">
      <c r="A104" s="15" t="s">
        <v>201</v>
      </c>
    </row>
    <row r="105" spans="1:9" x14ac:dyDescent="0.3">
      <c r="A105" s="15" t="s">
        <v>202</v>
      </c>
    </row>
    <row r="106" spans="1:9" x14ac:dyDescent="0.3">
      <c r="A106" s="15" t="s">
        <v>248</v>
      </c>
    </row>
    <row r="109" spans="1:9" x14ac:dyDescent="0.3">
      <c r="A109" s="21" t="s">
        <v>203</v>
      </c>
      <c r="B109" s="21" t="s">
        <v>204</v>
      </c>
      <c r="C109" s="21" t="s">
        <v>205</v>
      </c>
    </row>
    <row r="110" spans="1:9" x14ac:dyDescent="0.3">
      <c r="A110" s="25" t="s">
        <v>180</v>
      </c>
      <c r="B110" s="25" t="s">
        <v>206</v>
      </c>
      <c r="C110" s="27" t="s">
        <v>206</v>
      </c>
    </row>
    <row r="111" spans="1:9" x14ac:dyDescent="0.3">
      <c r="A111" s="25" t="s">
        <v>15</v>
      </c>
      <c r="B111" s="25" t="s">
        <v>207</v>
      </c>
      <c r="C111" s="27" t="s">
        <v>208</v>
      </c>
    </row>
    <row r="112" spans="1:9" x14ac:dyDescent="0.3">
      <c r="A112" s="25" t="s">
        <v>39</v>
      </c>
      <c r="B112" s="25" t="s">
        <v>209</v>
      </c>
      <c r="C112" s="27" t="s">
        <v>208</v>
      </c>
    </row>
  </sheetData>
  <mergeCells count="7">
    <mergeCell ref="A9:H9"/>
    <mergeCell ref="A1:H1"/>
    <mergeCell ref="A4:C4"/>
    <mergeCell ref="D4:F4"/>
    <mergeCell ref="A5:C5"/>
    <mergeCell ref="D5:F5"/>
    <mergeCell ref="A7:C7"/>
  </mergeCells>
  <phoneticPr fontId="1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DF3089D521DA4C83FA4ECADE821C7A" ma:contentTypeVersion="18" ma:contentTypeDescription="Crée un document." ma:contentTypeScope="" ma:versionID="8210ed4fe9b258b350a5d52547824bfc">
  <xsd:schema xmlns:xsd="http://www.w3.org/2001/XMLSchema" xmlns:xs="http://www.w3.org/2001/XMLSchema" xmlns:p="http://schemas.microsoft.com/office/2006/metadata/properties" xmlns:ns2="b0d73111-15b6-4b34-852d-8f3b85973f60" xmlns:ns3="20584242-8ea6-4754-b316-fb9937431228" targetNamespace="http://schemas.microsoft.com/office/2006/metadata/properties" ma:root="true" ma:fieldsID="19725212d6525b17982b607607935e4d" ns2:_="" ns3:_="">
    <xsd:import namespace="b0d73111-15b6-4b34-852d-8f3b85973f60"/>
    <xsd:import namespace="20584242-8ea6-4754-b316-fb99374312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AnnuaireCorrespondantsAssurance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d73111-15b6-4b34-852d-8f3b85973f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AnnuaireCorrespondantsAssurances" ma:index="13" nillable="true" ma:displayName="Annuaire Correspondants Assurances" ma:description="Annuaire Correspondants Assurances" ma:format="Dropdown" ma:internalName="AnnuaireCorrespondantsAssurances">
      <xsd:simpleType>
        <xsd:restriction base="dms:Text">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Balises d’images" ma:readOnly="false" ma:fieldId="{5cf76f15-5ced-4ddc-b409-7134ff3c332f}" ma:taxonomyMulti="true" ma:sspId="0281f9de-dbd9-438f-9c50-0f15139160d3"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_Flow_SignoffStatus" ma:index="25" nillable="true" ma:displayName="État de validatio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584242-8ea6-4754-b316-fb9937431228"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21" nillable="true" ma:displayName="Taxonomy Catch All Column" ma:hidden="true" ma:list="{216e140a-a25f-4d07-abeb-54acab8a6b27}" ma:internalName="TaxCatchAll" ma:showField="CatchAllData" ma:web="20584242-8ea6-4754-b316-fb99374312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d73111-15b6-4b34-852d-8f3b85973f60">
      <Terms xmlns="http://schemas.microsoft.com/office/infopath/2007/PartnerControls"/>
    </lcf76f155ced4ddcb4097134ff3c332f>
    <TaxCatchAll xmlns="20584242-8ea6-4754-b316-fb9937431228" xsi:nil="true"/>
    <_Flow_SignoffStatus xmlns="b0d73111-15b6-4b34-852d-8f3b85973f60" xsi:nil="true"/>
    <AnnuaireCorrespondantsAssurances xmlns="b0d73111-15b6-4b34-852d-8f3b85973f60" xsi:nil="true"/>
  </documentManagement>
</p:properties>
</file>

<file path=customXml/itemProps1.xml><?xml version="1.0" encoding="utf-8"?>
<ds:datastoreItem xmlns:ds="http://schemas.openxmlformats.org/officeDocument/2006/customXml" ds:itemID="{93F14CDE-829B-4010-B0E3-C7282859AC9B}">
  <ds:schemaRefs>
    <ds:schemaRef ds:uri="http://schemas.microsoft.com/sharepoint/v3/contenttype/forms"/>
  </ds:schemaRefs>
</ds:datastoreItem>
</file>

<file path=customXml/itemProps2.xml><?xml version="1.0" encoding="utf-8"?>
<ds:datastoreItem xmlns:ds="http://schemas.openxmlformats.org/officeDocument/2006/customXml" ds:itemID="{818F2A3E-1FE3-4A7D-9219-10F21BB54F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d73111-15b6-4b34-852d-8f3b85973f60"/>
    <ds:schemaRef ds:uri="20584242-8ea6-4754-b316-fb99374312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330957-72F9-4E4E-AD23-E7361D7FDFAC}">
  <ds:schemaRefs>
    <ds:schemaRef ds:uri="http://schemas.microsoft.com/office/2006/metadata/properties"/>
    <ds:schemaRef ds:uri="http://schemas.microsoft.com/office/infopath/2007/PartnerControls"/>
    <ds:schemaRef ds:uri="b0d73111-15b6-4b34-852d-8f3b85973f60"/>
    <ds:schemaRef ds:uri="20584242-8ea6-4754-b316-fb99374312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BPU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Maxence Brouard</dc:creator>
  <cp:keywords/>
  <dc:description/>
  <cp:lastModifiedBy>MARCHESSEAU Rejane</cp:lastModifiedBy>
  <cp:revision/>
  <dcterms:created xsi:type="dcterms:W3CDTF">2026-04-16T13:12:46Z</dcterms:created>
  <dcterms:modified xsi:type="dcterms:W3CDTF">2026-06-04T09:12:29Z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0x0101006EDF3089D521DA4C83FA4ECADE821C7A</vt:lpwstr>
  </property>
  <property fmtid="{D5CDD505-2E9C-101B-9397-08002B2CF9AE}" pid="3" name="MediaServiceImageTags">
    <vt:lpwstr/>
  </property>
</Properties>
</file>